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skorne\Desktop\Upstream\WWV\Moz\Bid\OCTG\OCTG Large OD 2.0-ITT\OCTG - Large OD Final Package\Section 4 - Com Proposal\"/>
    </mc:Choice>
  </mc:AlternateContent>
  <xr:revisionPtr revIDLastSave="0" documentId="13_ncr:1_{4170FD4C-BE15-401A-A1C8-67846CEFD624}" xr6:coauthVersionLast="47" xr6:coauthVersionMax="47" xr10:uidLastSave="{00000000-0000-0000-0000-000000000000}"/>
  <bookViews>
    <workbookView xWindow="-103" yWindow="-103" windowWidth="33120" windowHeight="18000" xr2:uid="{B2A81EAC-DA87-4573-8406-EE998477E7B0}"/>
  </bookViews>
  <sheets>
    <sheet name="Tables B1-B4-OCTG Prices" sheetId="8" r:id="rId1"/>
    <sheet name="Tables C1-G1" sheetId="16" r:id="rId2"/>
  </sheets>
  <externalReferences>
    <externalReference r:id="rId3"/>
    <externalReference r:id="rId4"/>
    <externalReference r:id="rId5"/>
    <externalReference r:id="rId6"/>
  </externalReferences>
  <definedNames>
    <definedName name="a2score">#REF!</definedName>
    <definedName name="a3score">#REF!</definedName>
    <definedName name="ascore">#REF!</definedName>
    <definedName name="b2score">#REF!</definedName>
    <definedName name="b3score">#REF!</definedName>
    <definedName name="bscore">#REF!</definedName>
    <definedName name="cscore">#REF!</definedName>
    <definedName name="cthreescore">#REF!</definedName>
    <definedName name="ctwoscore">#REF!</definedName>
    <definedName name="ctwoscore2">#REF!</definedName>
    <definedName name="d2score">#REF!</definedName>
    <definedName name="d2score2">#REF!</definedName>
    <definedName name="d3score">#REF!</definedName>
    <definedName name="dscore">#REF!</definedName>
    <definedName name="EM">#REF!</definedName>
    <definedName name="Joint">'[1]%age by Line'!#REF!</definedName>
    <definedName name="liste_Activite_WBS">[2]split_WBS!$L$32:$L$166</definedName>
    <definedName name="liste_Base_alt1">[2]data!$B$116:$B$125</definedName>
    <definedName name="liste_colonne">[2]data!$B$56:$B$59</definedName>
    <definedName name="max2a1">'[3]Technical Part A'!$K$4</definedName>
    <definedName name="max2a2">'[3]Technical Part A'!$K$16</definedName>
    <definedName name="max2a3">'[3]Technical Part A'!$K$18</definedName>
    <definedName name="max2b1">'[3]Execution Part B'!$J$4</definedName>
    <definedName name="max2b10">'[3]Execution Part B'!$J$39</definedName>
    <definedName name="max2b11">'[3]Execution Part B'!$J$41</definedName>
    <definedName name="max2b12">'[3]Execution Part B'!$J$43</definedName>
    <definedName name="max2b13">'[3]Execution Part B'!$J$45</definedName>
    <definedName name="max2b14">'[3]Execution Part B'!$J$51</definedName>
    <definedName name="max2b15">'[3]Execution Part B'!$J$53</definedName>
    <definedName name="max2b16">'[3]Execution Part B'!$J$55</definedName>
    <definedName name="max2b2">'[3]Execution Part B'!$J$16</definedName>
    <definedName name="max2b3">'[3]Execution Part B'!$J$19</definedName>
    <definedName name="max2b4">'[3]Execution Part B'!$J$21</definedName>
    <definedName name="max2b5">'[3]Execution Part B'!$J$23</definedName>
    <definedName name="max2b6">'[3]Execution Part B'!$J$29</definedName>
    <definedName name="max2b7">'[3]Execution Part B'!$J$33</definedName>
    <definedName name="max2b8">'[3]Execution Part B'!$J$35</definedName>
    <definedName name="max2b9">'[3]Execution Part B'!$J$37</definedName>
    <definedName name="max2c1">'[3]Host Country Part C'!$J$4</definedName>
    <definedName name="max2c2">'[3]Host Country Part C'!$J$6</definedName>
    <definedName name="max2d1">'[3]Add Info Part D'!$J$4</definedName>
    <definedName name="max2d2">'[3]Add Info Part D'!$J$6</definedName>
    <definedName name="max3a1">'[3]Technical Part A'!$O$4</definedName>
    <definedName name="max3a2">'[3]Technical Part A'!$O$16</definedName>
    <definedName name="max3a3">'[3]Technical Part A'!$O$18</definedName>
    <definedName name="max3b1">'[3]Execution Part B'!$N$4</definedName>
    <definedName name="max3b10">'[3]Execution Part B'!$N$39</definedName>
    <definedName name="max3b11">'[3]Execution Part B'!$N$41</definedName>
    <definedName name="max3b12">'[3]Execution Part B'!$N$43</definedName>
    <definedName name="max3b13">'[3]Execution Part B'!$N$45</definedName>
    <definedName name="max3b14">'[3]Execution Part B'!$N$51</definedName>
    <definedName name="max3b15">'[3]Execution Part B'!$N$53</definedName>
    <definedName name="max3b16">'[3]Execution Part B'!$N$55</definedName>
    <definedName name="max3b2">'[3]Execution Part B'!$N$16</definedName>
    <definedName name="max3b3">'[3]Execution Part B'!$N$19</definedName>
    <definedName name="max3b4">'[3]Execution Part B'!$N$21</definedName>
    <definedName name="max3b5">'[3]Execution Part B'!$N$23</definedName>
    <definedName name="max3b6">'[3]Execution Part B'!$N$29</definedName>
    <definedName name="max3b7">'[3]Execution Part B'!$N$33</definedName>
    <definedName name="max3b8">'[3]Execution Part B'!$N$35</definedName>
    <definedName name="max3b9">'[3]Execution Part B'!$N$37</definedName>
    <definedName name="max3c1">'[3]Host Country Part C'!$N$4</definedName>
    <definedName name="max3c2">'[3]Host Country Part C'!$N$6</definedName>
    <definedName name="max3d1">'[3]Add Info Part D'!$N$4</definedName>
    <definedName name="max3d2">'[3]Add Info Part D'!$N$6</definedName>
    <definedName name="maxa1">'[3]Technical Part A'!$G$4</definedName>
    <definedName name="maxa2">'[3]Technical Part A'!$G$16</definedName>
    <definedName name="maxa3">'[3]Technical Part A'!$G$18</definedName>
    <definedName name="maxb1">'[3]Execution Part B'!$F$4</definedName>
    <definedName name="maxb10">'[3]Execution Part B'!$F$39</definedName>
    <definedName name="maxb11">'[3]Execution Part B'!$F$41</definedName>
    <definedName name="maxb12">'[3]Execution Part B'!$F$43</definedName>
    <definedName name="maxb13">'[3]Execution Part B'!$F$45</definedName>
    <definedName name="maxb14">'[3]Execution Part B'!$F$51</definedName>
    <definedName name="maxb15">'[3]Execution Part B'!$F$53</definedName>
    <definedName name="maxb16">'[3]Execution Part B'!$F$55</definedName>
    <definedName name="maxb2">'[3]Execution Part B'!$F$16</definedName>
    <definedName name="maxb3">'[3]Execution Part B'!$F$19</definedName>
    <definedName name="maxb4">'[3]Execution Part B'!$F$21</definedName>
    <definedName name="maxb5">'[3]Execution Part B'!$F$23</definedName>
    <definedName name="maxb6">'[3]Execution Part B'!$F$29</definedName>
    <definedName name="maxb7">'[3]Execution Part B'!$F$33</definedName>
    <definedName name="maxb8">'[3]Execution Part B'!$F$35</definedName>
    <definedName name="maxb9">'[3]Execution Part B'!$F$37</definedName>
    <definedName name="maxc1">'[3]Host Country Part C'!$F$4</definedName>
    <definedName name="maxc2">'[3]Host Country Part C'!$F$6</definedName>
    <definedName name="maxd1">'[3]Add Info Part D'!$F$4</definedName>
    <definedName name="maxd2">'[3]Add Info Part D'!$F$6</definedName>
    <definedName name="Mudline_BaseCase_GasInjector">'[4]Forecast Model Inputs'!$E$5</definedName>
    <definedName name="Mudline_BaseCase_WaterInjector">'[4]Forecast Model Inputs'!$E$4</definedName>
    <definedName name="o">#REF!</definedName>
    <definedName name="_xlnm.Print_Area" localSheetId="0">'Tables B1-B4-OCTG Prices'!$A$1:$R$47</definedName>
    <definedName name="_xlnm.Print_Area" localSheetId="1">'Tables C1-G1'!$B$2:$F$28</definedName>
    <definedName name="score2a1">'[3]Technical Part A'!$M$4</definedName>
    <definedName name="score2a2">'[3]Technical Part A'!$M$16</definedName>
    <definedName name="score2a3">'[3]Technical Part A'!$M$18</definedName>
    <definedName name="score2b1">'[3]Execution Part B'!$L$4</definedName>
    <definedName name="score2b10">'[3]Execution Part B'!$L$39</definedName>
    <definedName name="score2b11">'[3]Execution Part B'!$L$41</definedName>
    <definedName name="score2b12">'[3]Execution Part B'!$L$43</definedName>
    <definedName name="score2b13">'[3]Execution Part B'!$L$45</definedName>
    <definedName name="score2b14">'[3]Execution Part B'!$L$51</definedName>
    <definedName name="score2b15">'[3]Execution Part B'!$L$53</definedName>
    <definedName name="score2b16">'[3]Execution Part B'!$L$55</definedName>
    <definedName name="score2b2">'[3]Execution Part B'!$L$16</definedName>
    <definedName name="score2b3">'[3]Execution Part B'!$L$19</definedName>
    <definedName name="score2b4">'[3]Execution Part B'!$L$21</definedName>
    <definedName name="score2b5">'[3]Execution Part B'!$L$23</definedName>
    <definedName name="score2b6">'[3]Execution Part B'!$L$29</definedName>
    <definedName name="score2b7">'[3]Execution Part B'!$L$33</definedName>
    <definedName name="score2b8">'[3]Execution Part B'!$L$35</definedName>
    <definedName name="score2b9">'[3]Execution Part B'!$L$37</definedName>
    <definedName name="score2c1">'[3]Host Country Part C'!$L$4</definedName>
    <definedName name="score2c2">'[3]Host Country Part C'!$L$6</definedName>
    <definedName name="score2d1">'[3]Add Info Part D'!$L$4</definedName>
    <definedName name="score2d2">'[3]Add Info Part D'!$L$6</definedName>
    <definedName name="score3a1">'[3]Technical Part A'!$Q$4</definedName>
    <definedName name="score3a2">'[3]Technical Part A'!$Q$16</definedName>
    <definedName name="score3a3">'[3]Technical Part A'!$Q$18</definedName>
    <definedName name="score3b1">'[3]Execution Part B'!$P$4</definedName>
    <definedName name="score3b10">'[3]Execution Part B'!$P$39</definedName>
    <definedName name="score3b11">'[3]Execution Part B'!$P$41</definedName>
    <definedName name="score3b12">'[3]Execution Part B'!$P$43</definedName>
    <definedName name="score3b13">'[3]Execution Part B'!$P$45</definedName>
    <definedName name="score3b14">'[3]Execution Part B'!$P$51</definedName>
    <definedName name="score3b15">'[3]Execution Part B'!$P$53</definedName>
    <definedName name="score3b16">'[3]Execution Part B'!$P$55</definedName>
    <definedName name="score3b2">'[3]Execution Part B'!$P$16</definedName>
    <definedName name="score3b3">'[3]Execution Part B'!$P$19</definedName>
    <definedName name="score3b4">'[3]Execution Part B'!$P$21</definedName>
    <definedName name="score3b5">'[3]Execution Part B'!$P$23</definedName>
    <definedName name="score3b6">'[3]Execution Part B'!$P$29</definedName>
    <definedName name="score3b7">'[3]Execution Part B'!$P$33</definedName>
    <definedName name="score3b8">'[3]Execution Part B'!$P$35</definedName>
    <definedName name="score3b9">'[3]Execution Part B'!$P$37</definedName>
    <definedName name="score3c1">'[3]Host Country Part C'!$P$4</definedName>
    <definedName name="score3c2">'[3]Host Country Part C'!$P$6</definedName>
    <definedName name="score3d1">'[3]Add Info Part D'!$P$4</definedName>
    <definedName name="score3d2">'[3]Add Info Part D'!$P$6</definedName>
    <definedName name="scorea1">'[3]Technical Part A'!$I$4</definedName>
    <definedName name="scorea2">'[3]Technical Part A'!$I$16</definedName>
    <definedName name="scorea3">'[3]Technical Part A'!$I$18</definedName>
    <definedName name="scoreb1">'[3]Execution Part B'!$H$4</definedName>
    <definedName name="scoreb10">'[3]Execution Part B'!$H$39</definedName>
    <definedName name="scoreb11">'[3]Execution Part B'!$H$41</definedName>
    <definedName name="scoreb12">'[3]Execution Part B'!$H$43</definedName>
    <definedName name="scoreb13">'[3]Execution Part B'!$H$45</definedName>
    <definedName name="scoreb14">'[3]Execution Part B'!$H$51</definedName>
    <definedName name="scoreb15">'[3]Execution Part B'!$H$53</definedName>
    <definedName name="scoreb16">'[3]Execution Part B'!$H$55</definedName>
    <definedName name="scoreb2">'[3]Execution Part B'!$H$16</definedName>
    <definedName name="scoreb3">'[3]Execution Part B'!$H$19</definedName>
    <definedName name="scoreb4">'[3]Execution Part B'!$H$21</definedName>
    <definedName name="scoreb5">'[3]Execution Part B'!$H$23</definedName>
    <definedName name="scoreb6">'[3]Execution Part B'!$H$29</definedName>
    <definedName name="scoreb7">'[3]Execution Part B'!$H$33</definedName>
    <definedName name="scoreb8">'[3]Execution Part B'!$H$35</definedName>
    <definedName name="scoreb9">'[3]Execution Part B'!$H$37</definedName>
    <definedName name="scorec1">'[3]Host Country Part C'!$H$4</definedName>
    <definedName name="scorec2">'[3]Host Country Part C'!$H$6</definedName>
    <definedName name="scored1">'[3]Add Info Part D'!$H$4</definedName>
    <definedName name="scored2">'[3]Add Info Part D'!$H$6</definedName>
    <definedName name="test">#REF!</definedName>
    <definedName name="Total_Deb_FDMstd">[2]NEWFDM!$CE$209</definedName>
    <definedName name="Txch_MC_cost">[2]data!$F$104:$M$104</definedName>
    <definedName name="Txch_MC1_FDM">[2]data!$F$105:$M$105</definedName>
    <definedName name="Txch_MC2_FDM">[2]data!$F$106:$M$106</definedName>
    <definedName name="Txch_MC3_FDM">[2]data!$F$107:$M$107</definedName>
    <definedName name="Txch_MCT_FDM">[2]data!$F$108:$M$108</definedName>
    <definedName name="TxChange">[2]data!$D$12:$N$20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6" l="1"/>
</calcChain>
</file>

<file path=xl/sharedStrings.xml><?xml version="1.0" encoding="utf-8"?>
<sst xmlns="http://schemas.openxmlformats.org/spreadsheetml/2006/main" count="238" uniqueCount="124">
  <si>
    <t>Description</t>
  </si>
  <si>
    <t>Note 1:</t>
  </si>
  <si>
    <t>Note 2:</t>
  </si>
  <si>
    <t>Proposed Connection
(Supplier Input)</t>
  </si>
  <si>
    <t>Proposed Mill &amp; Location
(Supplier Input)</t>
  </si>
  <si>
    <t>LARGE DIAMETER/CONDUCTOR </t>
  </si>
  <si>
    <t>Index</t>
  </si>
  <si>
    <t>Index Code</t>
  </si>
  <si>
    <t>Class</t>
  </si>
  <si>
    <t>Unit</t>
  </si>
  <si>
    <t>Source</t>
  </si>
  <si>
    <t>Proposed Value</t>
  </si>
  <si>
    <t>Grade</t>
  </si>
  <si>
    <t>Connection</t>
  </si>
  <si>
    <t>Type</t>
  </si>
  <si>
    <t>Specification Requirements</t>
  </si>
  <si>
    <t>X65</t>
  </si>
  <si>
    <t>DSAW</t>
  </si>
  <si>
    <t>Low Liquid Pressure</t>
  </si>
  <si>
    <t>Y</t>
  </si>
  <si>
    <t>Fatigue (Y/N)</t>
  </si>
  <si>
    <t>EMWQM</t>
  </si>
  <si>
    <t>N</t>
  </si>
  <si>
    <t>36 (X-Over)</t>
  </si>
  <si>
    <t>X80</t>
  </si>
  <si>
    <t>High Liquid/Gas</t>
  </si>
  <si>
    <t>20 (Shoe)</t>
  </si>
  <si>
    <t>P110</t>
  </si>
  <si>
    <t>SMLS</t>
  </si>
  <si>
    <t>Premium T&amp;C</t>
  </si>
  <si>
    <t>X56</t>
  </si>
  <si>
    <t>2 (box end) x 1.5 (wall and Pin)</t>
  </si>
  <si>
    <t>Alternative options</t>
  </si>
  <si>
    <t>DAP - Port of Pemba</t>
  </si>
  <si>
    <t>Weight (ppf)</t>
  </si>
  <si>
    <t>Buyback %</t>
  </si>
  <si>
    <t xml:space="preserve">FCA/FOB - Port of Origin </t>
  </si>
  <si>
    <t>Y (Box &amp; Body) / N (Pin)</t>
  </si>
  <si>
    <t>Low Liquid Pressure (Box); PE with ID bevel (Pin)</t>
  </si>
  <si>
    <t>36 (Jet Joint)</t>
  </si>
  <si>
    <t>BOX PE; Low Liquid Pressure (PIN)</t>
  </si>
  <si>
    <t>42 (1 joint)</t>
  </si>
  <si>
    <t>BOX PE; High Liquid/Gas (PIN)</t>
  </si>
  <si>
    <t>45 (1 joint)</t>
  </si>
  <si>
    <t>45 (alternative)</t>
  </si>
  <si>
    <t>20 (HPWH Extension)</t>
  </si>
  <si>
    <t>36 (LPWH Extension)</t>
  </si>
  <si>
    <t>126 (3 joints)</t>
  </si>
  <si>
    <t>84 (2 joints)</t>
  </si>
  <si>
    <t>42 (alternative)</t>
  </si>
  <si>
    <t>84 (alternative)</t>
  </si>
  <si>
    <t>2250 (alternative)</t>
  </si>
  <si>
    <t xml:space="preserve">DDP - Pemba
</t>
  </si>
  <si>
    <t>Est Qty. per Well
(ft)</t>
  </si>
  <si>
    <t xml:space="preserve"> CONSIGNMENT Eligibility
YES/NO</t>
  </si>
  <si>
    <t>Large OD OCTG</t>
  </si>
  <si>
    <t>Company intends to exercise Price Adjustment Formula(s) as per Exhibit D.</t>
  </si>
  <si>
    <t>what does this means??</t>
  </si>
  <si>
    <t>EA/MONTH</t>
  </si>
  <si>
    <t>Comments</t>
  </si>
  <si>
    <t>EA/JOINT</t>
  </si>
  <si>
    <t>MT/MONTH</t>
  </si>
  <si>
    <t>Leadtime in weeks 
(DDP)</t>
  </si>
  <si>
    <t>OD 
(in)</t>
  </si>
  <si>
    <t>Wall Thickness 
(in.)</t>
  </si>
  <si>
    <t>Nom OD / ID Drift
(in.)</t>
  </si>
  <si>
    <t>Unit Price 
(USD/FT)</t>
  </si>
  <si>
    <t>Table 
B1</t>
  </si>
  <si>
    <t xml:space="preserve">OCTG Equipment 
(Exhibit C - Section B) </t>
  </si>
  <si>
    <t>PRICE ADJUSTMENT MECHANISM (include weights)</t>
  </si>
  <si>
    <t>Table 
B2</t>
  </si>
  <si>
    <t>Table 
B3</t>
  </si>
  <si>
    <t>INDICES</t>
  </si>
  <si>
    <t>Table 
B4</t>
  </si>
  <si>
    <t xml:space="preserve">Acessories
(Exhibit C - Section B) </t>
  </si>
  <si>
    <t>Table
C1</t>
  </si>
  <si>
    <t>Consumables
(Exhibit C, Section C)</t>
  </si>
  <si>
    <t xml:space="preserve">Unit Price
(USD) </t>
  </si>
  <si>
    <t>Unit of Measure
(UOM)</t>
  </si>
  <si>
    <t>All required spares and consumables to maintain/support services</t>
  </si>
  <si>
    <t>EACH</t>
  </si>
  <si>
    <t>Pipe Dope</t>
  </si>
  <si>
    <t>Table
D1</t>
  </si>
  <si>
    <t>Personnel
(Exhibit C, Section D)</t>
  </si>
  <si>
    <t>Field Service Representative (FSR) - Offshore</t>
  </si>
  <si>
    <t>EACH/DAY</t>
  </si>
  <si>
    <t>Running Assistance
12 hrs/shift</t>
  </si>
  <si>
    <t>Project Manager</t>
  </si>
  <si>
    <t>Included in Prices on Table B1</t>
  </si>
  <si>
    <t>Design Engineer</t>
  </si>
  <si>
    <t>Quality Representative</t>
  </si>
  <si>
    <t>Table
E1</t>
  </si>
  <si>
    <t>Facilities
(Exhibit C, Section E)</t>
  </si>
  <si>
    <t>Storage of Pipe at Contractor's facility</t>
  </si>
  <si>
    <t>Table
F1</t>
  </si>
  <si>
    <t>Transportation and Logistics 
(Exhibit C, Section F)</t>
  </si>
  <si>
    <t>Table
G1</t>
  </si>
  <si>
    <t>Other Services and deliverables
(Exhibit C, Section G)</t>
  </si>
  <si>
    <t>Technical Support, record keeping, reporting</t>
  </si>
  <si>
    <t>Included in the prices on Tables D1</t>
  </si>
  <si>
    <t>Bucking Services</t>
  </si>
  <si>
    <t>EA/CONNECTION</t>
  </si>
  <si>
    <t>Including all incidentals, per diem, mileage, air tickets, living expenses etc.. Once charge per hitch covers both mob &amp; demob</t>
  </si>
  <si>
    <t>Included in prices on Tables B</t>
  </si>
  <si>
    <t>EACH/PER EVENT</t>
  </si>
  <si>
    <t>Applicable for all equipment scope for the program.</t>
  </si>
  <si>
    <t>Included in Prices on Tables B-E1</t>
  </si>
  <si>
    <t>Tubular Management Services</t>
  </si>
  <si>
    <r>
      <t xml:space="preserve">Mobilization/Demobilization Charge - </t>
    </r>
    <r>
      <rPr>
        <b/>
        <sz val="11"/>
        <rFont val="Arial"/>
        <family val="2"/>
      </rPr>
      <t>Equipment</t>
    </r>
    <r>
      <rPr>
        <sz val="11"/>
        <rFont val="Arial"/>
        <family val="2"/>
      </rPr>
      <t xml:space="preserve"> - From Contractor's local facility to/from Company's shore base or mobilization site.</t>
    </r>
  </si>
  <si>
    <r>
      <t>Mobilization/Demobilization -</t>
    </r>
    <r>
      <rPr>
        <b/>
        <sz val="11"/>
        <color theme="1"/>
        <rFont val="Arial"/>
        <family val="2"/>
      </rPr>
      <t xml:space="preserve"> Personnel</t>
    </r>
    <r>
      <rPr>
        <sz val="11"/>
        <color theme="1"/>
        <rFont val="Arial"/>
        <family val="2"/>
      </rPr>
      <t xml:space="preserve"> - From Origin to/from </t>
    </r>
    <r>
      <rPr>
        <b/>
        <sz val="11"/>
        <color theme="1"/>
        <rFont val="Arial"/>
        <family val="2"/>
      </rPr>
      <t>Company's Heliport (at Palma)</t>
    </r>
  </si>
  <si>
    <r>
      <t>Mobilization/Demobilization -</t>
    </r>
    <r>
      <rPr>
        <b/>
        <sz val="11"/>
        <color theme="1"/>
        <rFont val="Arial"/>
        <family val="2"/>
      </rPr>
      <t xml:space="preserve"> Personnel </t>
    </r>
    <r>
      <rPr>
        <sz val="11"/>
        <color theme="1"/>
        <rFont val="Arial"/>
        <family val="2"/>
      </rPr>
      <t xml:space="preserve">- From Origin to/from </t>
    </r>
    <r>
      <rPr>
        <b/>
        <sz val="11"/>
        <color theme="1"/>
        <rFont val="Arial"/>
        <family val="2"/>
      </rPr>
      <t>Pemba</t>
    </r>
  </si>
  <si>
    <r>
      <t xml:space="preserve">Including all incidentals, per diem, mileage, air tickets, living expenses etc. Once charge per hitch covers both mob &amp; demob
</t>
    </r>
    <r>
      <rPr>
        <b/>
        <sz val="11"/>
        <color theme="1"/>
        <rFont val="Arial"/>
        <family val="2"/>
      </rPr>
      <t>Company providing transportation from Pemba to Afungi.</t>
    </r>
  </si>
  <si>
    <t xml:space="preserve">Applicable only if Contractor subcontracts local facility </t>
  </si>
  <si>
    <t>Inspection and Preservation-Tubing</t>
  </si>
  <si>
    <t>Inspection and Preservation-Casing</t>
  </si>
  <si>
    <t>Rig Preparation Services (for offshore)</t>
  </si>
  <si>
    <t>Lot 1</t>
  </si>
  <si>
    <r>
      <t>Above prices constitute as the</t>
    </r>
    <r>
      <rPr>
        <sz val="11"/>
        <rFont val="Arial"/>
        <family val="2"/>
      </rPr>
      <t xml:space="preserve"> base price for the item and would be subject to Price Adjustment Mechanism ( PAM) formula accordinaly</t>
    </r>
  </si>
  <si>
    <t>Unit Price 
(USD/EA)</t>
  </si>
  <si>
    <t>Length per item
(ft)</t>
  </si>
  <si>
    <t xml:space="preserve">Est. Quantity
total project
</t>
  </si>
  <si>
    <t>Comment</t>
  </si>
  <si>
    <t>High Liquid/Gas (Box); Pin PE; 
Welded to Floatshoe
Float free issued to bidder</t>
  </si>
  <si>
    <r>
      <t xml:space="preserve">RFP No. </t>
    </r>
    <r>
      <rPr>
        <b/>
        <sz val="14"/>
        <color rgb="FFFF0000"/>
        <rFont val="Arial"/>
        <family val="2"/>
      </rPr>
      <t>Doc1671102774</t>
    </r>
    <r>
      <rPr>
        <b/>
        <sz val="14"/>
        <color theme="1"/>
        <rFont val="Arial"/>
        <family val="2"/>
      </rPr>
      <t xml:space="preserve"> - Exhibti D - Attachment 1 - Price Sheet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</si>
</sst>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EMprint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70C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94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  <xf numFmtId="12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4" fillId="0" borderId="10" xfId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4" fillId="0" borderId="15" xfId="1" applyFont="1" applyBorder="1" applyAlignment="1">
      <alignment horizontal="left" vertical="center"/>
    </xf>
    <xf numFmtId="3" fontId="9" fillId="4" borderId="12" xfId="0" applyNumberFormat="1" applyFont="1" applyFill="1" applyBorder="1" applyAlignment="1">
      <alignment horizontal="center" vertical="center" wrapText="1"/>
    </xf>
    <xf numFmtId="0" fontId="12" fillId="4" borderId="2" xfId="5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3" fontId="13" fillId="4" borderId="2" xfId="4" applyFont="1" applyFill="1" applyBorder="1" applyAlignment="1">
      <alignment horizontal="center" vertical="center" wrapText="1"/>
    </xf>
    <xf numFmtId="43" fontId="13" fillId="4" borderId="13" xfId="4" applyFont="1" applyFill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justify" vertical="center" wrapText="1"/>
    </xf>
    <xf numFmtId="43" fontId="4" fillId="0" borderId="1" xfId="4" applyFont="1" applyBorder="1" applyAlignment="1">
      <alignment horizontal="center" vertical="center" wrapText="1"/>
    </xf>
    <xf numFmtId="43" fontId="14" fillId="5" borderId="11" xfId="4" applyFont="1" applyFill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justify" vertical="center" wrapText="1"/>
    </xf>
    <xf numFmtId="43" fontId="4" fillId="0" borderId="15" xfId="4" applyFont="1" applyBorder="1" applyAlignment="1">
      <alignment horizontal="center" vertical="center" wrapText="1"/>
    </xf>
    <xf numFmtId="43" fontId="14" fillId="5" borderId="16" xfId="4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vertical="center" wrapText="1"/>
    </xf>
    <xf numFmtId="43" fontId="4" fillId="0" borderId="0" xfId="4" applyFont="1" applyBorder="1" applyAlignment="1">
      <alignment horizontal="center" vertical="center" wrapText="1"/>
    </xf>
    <xf numFmtId="43" fontId="14" fillId="5" borderId="0" xfId="4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justify" vertical="center" wrapText="1"/>
    </xf>
    <xf numFmtId="43" fontId="4" fillId="5" borderId="1" xfId="4" applyFont="1" applyFill="1" applyBorder="1" applyAlignment="1">
      <alignment vertical="center" wrapText="1"/>
    </xf>
    <xf numFmtId="43" fontId="4" fillId="5" borderId="11" xfId="4" applyFont="1" applyFill="1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justify" vertical="center" wrapText="1"/>
    </xf>
    <xf numFmtId="3" fontId="8" fillId="0" borderId="0" xfId="0" applyNumberFormat="1" applyFont="1" applyAlignment="1">
      <alignment wrapText="1"/>
    </xf>
    <xf numFmtId="43" fontId="4" fillId="0" borderId="0" xfId="4" applyFont="1" applyAlignment="1">
      <alignment horizontal="center" vertical="center" wrapText="1"/>
    </xf>
    <xf numFmtId="43" fontId="4" fillId="0" borderId="0" xfId="4" applyFont="1" applyAlignment="1">
      <alignment horizontal="center" wrapText="1"/>
    </xf>
    <xf numFmtId="43" fontId="8" fillId="0" borderId="0" xfId="4" applyFont="1" applyAlignment="1">
      <alignment horizont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43" fontId="15" fillId="0" borderId="1" xfId="4" applyFont="1" applyFill="1" applyBorder="1" applyAlignment="1">
      <alignment horizontal="center" vertical="center" wrapText="1"/>
    </xf>
    <xf numFmtId="43" fontId="15" fillId="0" borderId="11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43" fontId="15" fillId="0" borderId="15" xfId="4" applyFont="1" applyFill="1" applyBorder="1" applyAlignment="1">
      <alignment horizontal="center" vertical="center" wrapText="1"/>
    </xf>
    <xf numFmtId="43" fontId="15" fillId="0" borderId="16" xfId="4" applyFont="1" applyBorder="1" applyAlignment="1">
      <alignment horizontal="center" vertical="center" wrapText="1"/>
    </xf>
    <xf numFmtId="43" fontId="8" fillId="0" borderId="0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3" fontId="4" fillId="0" borderId="18" xfId="0" applyNumberFormat="1" applyFont="1" applyBorder="1" applyAlignment="1">
      <alignment horizontal="center" vertical="center" wrapText="1"/>
    </xf>
    <xf numFmtId="43" fontId="4" fillId="5" borderId="1" xfId="4" applyFont="1" applyFill="1" applyBorder="1" applyAlignment="1">
      <alignment horizontal="center" vertical="center" wrapText="1"/>
    </xf>
    <xf numFmtId="43" fontId="4" fillId="0" borderId="1" xfId="4" applyFont="1" applyFill="1" applyBorder="1" applyAlignment="1">
      <alignment horizontal="center" vertical="center" wrapText="1"/>
    </xf>
    <xf numFmtId="0" fontId="4" fillId="5" borderId="11" xfId="4" applyNumberFormat="1" applyFont="1" applyFill="1" applyBorder="1" applyAlignment="1">
      <alignment horizontal="center" vertical="center" wrapText="1"/>
    </xf>
    <xf numFmtId="43" fontId="15" fillId="0" borderId="8" xfId="4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justify" vertical="center" wrapText="1"/>
    </xf>
    <xf numFmtId="43" fontId="4" fillId="5" borderId="15" xfId="4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43" fontId="4" fillId="0" borderId="15" xfId="4" applyFont="1" applyFill="1" applyBorder="1" applyAlignment="1">
      <alignment horizontal="center" vertical="center" wrapText="1"/>
    </xf>
    <xf numFmtId="43" fontId="4" fillId="5" borderId="16" xfId="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4" fillId="5" borderId="8" xfId="4" applyFont="1" applyFill="1" applyBorder="1" applyAlignment="1">
      <alignment horizontal="center" vertical="center" wrapText="1"/>
    </xf>
    <xf numFmtId="43" fontId="4" fillId="5" borderId="9" xfId="4" applyFont="1" applyFill="1" applyBorder="1" applyAlignment="1">
      <alignment horizontal="center" vertical="center" wrapText="1"/>
    </xf>
    <xf numFmtId="43" fontId="4" fillId="5" borderId="17" xfId="4" applyFont="1" applyFill="1" applyBorder="1" applyAlignment="1">
      <alignment horizontal="center" vertical="center" wrapText="1"/>
    </xf>
    <xf numFmtId="43" fontId="4" fillId="0" borderId="8" xfId="4" applyFont="1" applyBorder="1" applyAlignment="1">
      <alignment horizontal="center" vertical="center" wrapText="1"/>
    </xf>
    <xf numFmtId="43" fontId="4" fillId="0" borderId="17" xfId="4" applyFont="1" applyBorder="1" applyAlignment="1">
      <alignment horizontal="center" vertical="center" wrapText="1"/>
    </xf>
  </cellXfs>
  <cellStyles count="6">
    <cellStyle name="Comma" xfId="4" builtinId="3"/>
    <cellStyle name="Currency 2" xfId="2" xr:uid="{00000000-0005-0000-0000-000000000000}"/>
    <cellStyle name="Normal" xfId="0" builtinId="0"/>
    <cellStyle name="Normal 5" xfId="1" xr:uid="{00000000-0005-0000-0000-000002000000}"/>
    <cellStyle name="Normal 7" xfId="5" xr:uid="{715A0FD7-4437-4094-AD8D-D71030C219D3}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yssautier\ST0218WAN%20-%20EAST%20AREA%20EPC%202\COMMERCIAL%20SUBMISSION%20PROPOSAL\Envelope%202%20-%20Commercial%20Tender%20Form\2.%20Lumps%20sum%20pricing\Table%202.2\2.2%20CONTRACT%20PRICE%20BREAKDOWN%20-%20OFFER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GRWFN018\mewillh$\Eyssautier\ST0218WAN%20-%20EAST%20AREA%20EPC%202\Cost%20Estimate\MODEST%20-%20East%20Area%20-%20Rev%2015%20-%20CLIENT%20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psgrwfn016\dpezdir$\emdc\AB15%20Kizomba%20Satellites\04%20LOW\10.0%20Contracting%20Purchasing%20&amp;%20Materials%20Mangement\10.2%20Contracting\ITT\Eval%20Plan\Bosi%20Eval%20Sheets\Kiz%20C%20Tech%20Tenre%20Eval%20Sheets\EPC3%20ITT%20Eval%20Rev%20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shareteam1.na.xom.com/Users/ayhuert/Desktop/Wells%20Schematic%20and%20consumption%20types%20Guyana%20VM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-Ups"/>
      <sheetName val="MODEST_Input_Costs"/>
      <sheetName val="%age by Line"/>
      <sheetName val="TabDynSELLINGPRICES"/>
      <sheetName val="2A&amp;B Sum"/>
      <sheetName val="2A PMT"/>
      <sheetName val="2A Engineer"/>
      <sheetName val="2A GR3 Platform"/>
      <sheetName val="2A GR1 Platform"/>
      <sheetName val="2A GR2 Platform"/>
      <sheetName val="2A Pipeline Sum"/>
      <sheetName val="2A PL Mob&amp;Transp"/>
      <sheetName val="2A PL Usari to Edop 24"/>
      <sheetName val="2A PL Edop to GR3 30"/>
      <sheetName val="2A PL Idoho to GR3 20"/>
      <sheetName val="2A PL Ubit GY to GR3 36"/>
      <sheetName val="2A PL GR3 to Ubit 6"/>
      <sheetName val="2A PL GR3 to Ubit 4"/>
      <sheetName val="2A PL GR3 to GR1"/>
      <sheetName val="2A PL GR3 to GR2"/>
      <sheetName val="2A PL GR1 to Unam A"/>
      <sheetName val="2A PL GR1 to Unam B"/>
      <sheetName val="2A PL GR1 to Unam C"/>
      <sheetName val="2A PL GR1 to Unam D"/>
      <sheetName val="2A PL GR1 to Ubit B"/>
      <sheetName val="2A PL GR1 to Mfem A"/>
      <sheetName val="2A PL GR1 to Mfem B"/>
      <sheetName val="2A PL GR1 to Isobo"/>
      <sheetName val="2A PL GR2 to Ubit A"/>
      <sheetName val="2A PL GR2 to Iyak A"/>
      <sheetName val="2A PL GR2 to Iyak B"/>
      <sheetName val="2A PL GR2 to SE Iyak"/>
      <sheetName val="2A PL GR2 to Utue A"/>
      <sheetName val="2A PL GR2 to Utue b"/>
      <sheetName val="2A Prov Sums (2)"/>
      <sheetName val="2A Startup Assist-Prov.Sum"/>
      <sheetName val="2B PMT"/>
      <sheetName val="2B Engineer"/>
      <sheetName val="2B GR4 Platform"/>
      <sheetName val="2B Pipeline Sum"/>
      <sheetName val="2B PL Mob&amp;Transp"/>
      <sheetName val="2B PL GR3 to Edop 18"/>
      <sheetName val="2B PL GR3 from QIT 20"/>
      <sheetName val="2B PL GR4 to QIT 10"/>
      <sheetName val="2B PL GR4 to BRT Offshore"/>
      <sheetName val="2B PL GR4 to BRT Onshore"/>
      <sheetName val="2B Prov Sums (2)"/>
      <sheetName val="2B Startup Assist-Prov.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plit_FDM"/>
      <sheetName val="split_WBS"/>
      <sheetName val="NEWFDM"/>
      <sheetName val="Tab_Dyn"/>
      <sheetName val="Cash Flow &amp; Cash Out"/>
      <sheetName val="DELTA (Offer vs Post-Closure)"/>
      <sheetName val="1 - Installation Costs Summary"/>
      <sheetName val="2 - Running Costs Synthesis"/>
      <sheetName val="14 - Inst. Aids &amp; Rented Eq."/>
      <sheetName val="Proc_General"/>
      <sheetName val="Cash_Flow_&amp;_Cash_Out"/>
      <sheetName val="DELTA_(Offer_vs_Post-Closure)"/>
      <sheetName val="1_-_Installation_Costs_Summary"/>
      <sheetName val="2_-_Running_Costs_Synthesis"/>
      <sheetName val="14_-_Inst__Aids_&amp;_Rented_Eq_"/>
      <sheetName val="Cash_Flow_&amp;_Cash_Out1"/>
      <sheetName val="DELTA_(Offer_vs_Post-Closure)1"/>
      <sheetName val="1_-_Installation_Costs_Summary1"/>
      <sheetName val="2_-_Running_Costs_Synthesis1"/>
      <sheetName val="14_-_Inst__Aids_&amp;_Rented_Eq_1"/>
      <sheetName val="Parameters"/>
      <sheetName val="Hrs summary"/>
      <sheetName val="Currency"/>
      <sheetName val="Control"/>
      <sheetName val="%age by Line"/>
      <sheetName val="Assum"/>
      <sheetName val="Sheet4"/>
      <sheetName val="DropDowns"/>
      <sheetName val="Bid and Execution Variances"/>
    </sheetNames>
    <sheetDataSet>
      <sheetData sheetId="0" refreshError="1">
        <row r="12">
          <cell r="D12" t="str">
            <v>kEUR</v>
          </cell>
          <cell r="E12">
            <v>1</v>
          </cell>
          <cell r="F12">
            <v>1</v>
          </cell>
          <cell r="G12">
            <v>1</v>
          </cell>
          <cell r="H12">
            <v>0.64</v>
          </cell>
          <cell r="I12">
            <v>120</v>
          </cell>
          <cell r="J12">
            <v>7.51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</row>
        <row r="13">
          <cell r="D13" t="str">
            <v>kUSD</v>
          </cell>
          <cell r="E13">
            <v>2</v>
          </cell>
          <cell r="F13">
            <v>1</v>
          </cell>
          <cell r="G13">
            <v>1</v>
          </cell>
          <cell r="H13">
            <v>0.64</v>
          </cell>
          <cell r="I13">
            <v>120</v>
          </cell>
          <cell r="J13">
            <v>7.51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</row>
        <row r="14">
          <cell r="D14" t="str">
            <v>kGBP</v>
          </cell>
          <cell r="E14">
            <v>3</v>
          </cell>
          <cell r="F14">
            <v>1.5625</v>
          </cell>
          <cell r="G14">
            <v>1.5625</v>
          </cell>
          <cell r="H14">
            <v>1</v>
          </cell>
          <cell r="I14">
            <v>187.5</v>
          </cell>
          <cell r="J14">
            <v>11.734375</v>
          </cell>
          <cell r="K14">
            <v>1.5625</v>
          </cell>
          <cell r="L14">
            <v>1.5625</v>
          </cell>
          <cell r="M14">
            <v>1.5625</v>
          </cell>
          <cell r="N14">
            <v>0</v>
          </cell>
        </row>
        <row r="15">
          <cell r="D15" t="str">
            <v>kNGN</v>
          </cell>
          <cell r="E15">
            <v>4</v>
          </cell>
          <cell r="F15">
            <v>8.3333333333333332E-3</v>
          </cell>
          <cell r="G15">
            <v>8.3333333333333332E-3</v>
          </cell>
          <cell r="H15">
            <v>5.3333333333333332E-3</v>
          </cell>
          <cell r="I15">
            <v>1</v>
          </cell>
          <cell r="J15">
            <v>6.2583333333333324E-2</v>
          </cell>
          <cell r="K15">
            <v>8.3333333333333332E-3</v>
          </cell>
          <cell r="L15">
            <v>8.3333333333333332E-3</v>
          </cell>
          <cell r="M15">
            <v>8.3333333333333332E-3</v>
          </cell>
          <cell r="N15">
            <v>0</v>
          </cell>
        </row>
        <row r="16">
          <cell r="D16" t="str">
            <v>kNOK</v>
          </cell>
          <cell r="E16">
            <v>5</v>
          </cell>
          <cell r="F16">
            <v>0.13315579227696406</v>
          </cell>
          <cell r="G16">
            <v>0.13315579227696406</v>
          </cell>
          <cell r="H16">
            <v>8.5219707057256996E-2</v>
          </cell>
          <cell r="I16">
            <v>15.978695073235688</v>
          </cell>
          <cell r="J16">
            <v>1</v>
          </cell>
          <cell r="K16">
            <v>0.13315579227696406</v>
          </cell>
          <cell r="L16">
            <v>0.13315579227696406</v>
          </cell>
          <cell r="M16">
            <v>0.13315579227696406</v>
          </cell>
          <cell r="N16">
            <v>0</v>
          </cell>
        </row>
        <row r="17">
          <cell r="D17" t="str">
            <v>M6</v>
          </cell>
          <cell r="E17">
            <v>6</v>
          </cell>
          <cell r="F17">
            <v>1</v>
          </cell>
          <cell r="G17">
            <v>1</v>
          </cell>
          <cell r="H17">
            <v>0.64</v>
          </cell>
          <cell r="I17">
            <v>120</v>
          </cell>
          <cell r="J17">
            <v>7.51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</row>
        <row r="18">
          <cell r="D18" t="str">
            <v>M7</v>
          </cell>
          <cell r="E18">
            <v>7</v>
          </cell>
          <cell r="F18">
            <v>1</v>
          </cell>
          <cell r="G18">
            <v>1</v>
          </cell>
          <cell r="H18">
            <v>0.64</v>
          </cell>
          <cell r="I18">
            <v>120</v>
          </cell>
          <cell r="J18">
            <v>7.51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</row>
        <row r="19">
          <cell r="D19" t="str">
            <v>M8</v>
          </cell>
          <cell r="E19">
            <v>8</v>
          </cell>
          <cell r="F19">
            <v>1</v>
          </cell>
          <cell r="G19">
            <v>1</v>
          </cell>
          <cell r="H19">
            <v>0.64</v>
          </cell>
          <cell r="I19">
            <v>120</v>
          </cell>
          <cell r="J19">
            <v>7.51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</row>
        <row r="20">
          <cell r="D20" t="str">
            <v xml:space="preserve"> </v>
          </cell>
          <cell r="E20">
            <v>9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56">
          <cell r="B56" t="str">
            <v>In (Subject to Tax)</v>
          </cell>
        </row>
        <row r="57">
          <cell r="B57" t="str">
            <v>OUT (NOT SUBJECT TO TAX)</v>
          </cell>
        </row>
        <row r="58">
          <cell r="B58" t="str">
            <v>SAIPEM AFFILIATES - In (Subject to Tax)</v>
          </cell>
        </row>
        <row r="59">
          <cell r="B59" t="str">
            <v>SAIPEM AFFILIATES - OUT (NOT SUBJECT TO TAX)</v>
          </cell>
        </row>
        <row r="104">
          <cell r="F104">
            <v>1</v>
          </cell>
          <cell r="G104">
            <v>1</v>
          </cell>
          <cell r="H104">
            <v>1.5625</v>
          </cell>
          <cell r="I104">
            <v>8.3333333333333332E-3</v>
          </cell>
          <cell r="J104">
            <v>0.13315579227696406</v>
          </cell>
          <cell r="K104">
            <v>1</v>
          </cell>
          <cell r="L104">
            <v>1</v>
          </cell>
          <cell r="M104">
            <v>1</v>
          </cell>
        </row>
        <row r="105"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F106">
            <v>0</v>
          </cell>
          <cell r="G106">
            <v>1</v>
          </cell>
          <cell r="H106">
            <v>0</v>
          </cell>
          <cell r="I106">
            <v>8.3333333333333332E-3</v>
          </cell>
          <cell r="J106">
            <v>0.13315579227696406</v>
          </cell>
          <cell r="K106">
            <v>1</v>
          </cell>
          <cell r="L106">
            <v>1</v>
          </cell>
          <cell r="M106">
            <v>1</v>
          </cell>
        </row>
        <row r="107">
          <cell r="F107">
            <v>0</v>
          </cell>
          <cell r="G107">
            <v>0</v>
          </cell>
          <cell r="H107">
            <v>1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F108">
            <v>1</v>
          </cell>
          <cell r="G108">
            <v>1</v>
          </cell>
          <cell r="H108">
            <v>1.5625</v>
          </cell>
          <cell r="I108">
            <v>8.3333333333333332E-3</v>
          </cell>
          <cell r="J108">
            <v>0.13315579227696406</v>
          </cell>
          <cell r="K108">
            <v>1</v>
          </cell>
          <cell r="L108">
            <v>1</v>
          </cell>
          <cell r="M108">
            <v>1</v>
          </cell>
        </row>
        <row r="116">
          <cell r="B116" t="str">
            <v>EPC 2 A</v>
          </cell>
        </row>
        <row r="117">
          <cell r="B117" t="str">
            <v>EPC 2 B</v>
          </cell>
        </row>
      </sheetData>
      <sheetData sheetId="1"/>
      <sheetData sheetId="2" refreshError="1">
        <row r="32">
          <cell r="L32" t="str">
            <v>PMT (IN NIGERIA) - EPC 2 A</v>
          </cell>
        </row>
        <row r="33">
          <cell r="L33" t="str">
            <v>PMT (OUT OF NIGERIA) - EPC 2 A</v>
          </cell>
        </row>
        <row r="34">
          <cell r="L34" t="str">
            <v>PMT (IN NIGERIA) - EPC 2 B</v>
          </cell>
        </row>
        <row r="35">
          <cell r="L35" t="str">
            <v>PMT (OUT OF NIGERIA) - EPC 2 B</v>
          </cell>
        </row>
        <row r="36">
          <cell r="L36" t="str">
            <v>CLIENT OFFICES</v>
          </cell>
        </row>
        <row r="37">
          <cell r="L37" t="str">
            <v>LOGISTIC BASE (2%) IN</v>
          </cell>
        </row>
        <row r="38">
          <cell r="L38" t="str">
            <v>LOGISTIC BASE (2%) OUT</v>
          </cell>
        </row>
        <row r="39">
          <cell r="L39" t="str">
            <v>MARINE OPERATION DEPT (1%) IN</v>
          </cell>
        </row>
        <row r="40">
          <cell r="L40" t="str">
            <v>MARINE OPERATION DEPT (1%) OUT</v>
          </cell>
        </row>
        <row r="41">
          <cell r="L41" t="str">
            <v>PNR MARINE BASE (1.5%) IN</v>
          </cell>
        </row>
        <row r="42">
          <cell r="L42" t="str">
            <v>PNR MARINE BASE (1.5%) OUT</v>
          </cell>
        </row>
        <row r="43">
          <cell r="L43" t="str">
            <v>COMPLETION SOFTWARE LICENSE</v>
          </cell>
        </row>
        <row r="44">
          <cell r="L44" t="str">
            <v>PRT SERVICES</v>
          </cell>
        </row>
        <row r="45">
          <cell r="L45" t="str">
            <v>INSTALL ENG. (EPC 2 A)</v>
          </cell>
        </row>
        <row r="46">
          <cell r="L46" t="str">
            <v>INSTALL ENG. (EPC 2 B)</v>
          </cell>
        </row>
        <row r="47">
          <cell r="L47" t="str">
            <v>PIPELINE ENG. (EPC 2 A)</v>
          </cell>
        </row>
        <row r="48">
          <cell r="L48" t="str">
            <v>PIPELINE ENG. (EPC 2 B)</v>
          </cell>
        </row>
        <row r="49">
          <cell r="L49" t="str">
            <v>WHP ENG. (EPC 2 A)</v>
          </cell>
        </row>
        <row r="50">
          <cell r="L50" t="str">
            <v>WHP ENG. (EPC 2 B)</v>
          </cell>
        </row>
        <row r="51">
          <cell r="L51" t="str">
            <v>NIGERIAN TRAINING PROGRAM</v>
          </cell>
        </row>
        <row r="52">
          <cell r="L52" t="str">
            <v>NIGERIAN ENGINEERING</v>
          </cell>
        </row>
        <row r="53">
          <cell r="L53" t="str">
            <v>WELDERS QUALIF</v>
          </cell>
        </row>
        <row r="54">
          <cell r="L54" t="str">
            <v>WELDING PROC QUALIF</v>
          </cell>
        </row>
        <row r="55">
          <cell r="L55" t="str">
            <v>BOS 355 - LIFTING (EPC 2 A)</v>
          </cell>
        </row>
        <row r="56">
          <cell r="L56" t="str">
            <v>BOS 355 - LIFTING (EPC 2 B)</v>
          </cell>
        </row>
        <row r="57">
          <cell r="L57" t="str">
            <v>C8 - LIFTING (EPC 2 A)</v>
          </cell>
        </row>
        <row r="58">
          <cell r="L58" t="str">
            <v>DIVING SUPPORT VESSEL - PREPARATION (EPC 2 A)</v>
          </cell>
        </row>
        <row r="59">
          <cell r="L59" t="str">
            <v>DIVING SUPPORT VESSEL - PREPARATION (EPC 2 B)</v>
          </cell>
        </row>
        <row r="60">
          <cell r="L60" t="str">
            <v>HOOK-UP VESSEL - EPC 2 A</v>
          </cell>
        </row>
        <row r="61">
          <cell r="L61" t="str">
            <v>HOOK-UP VESSEL - EPC 2 B</v>
          </cell>
        </row>
        <row r="62">
          <cell r="L62" t="str">
            <v>SB 103 D.R.</v>
          </cell>
        </row>
        <row r="63">
          <cell r="L63" t="str">
            <v>SB 103 D.R. (EPC 2 B)</v>
          </cell>
        </row>
        <row r="64">
          <cell r="L64" t="str">
            <v>JACKET&amp;PILES (EPC2A)</v>
          </cell>
        </row>
        <row r="65">
          <cell r="L65" t="str">
            <v>DECKS (EPC2A)</v>
          </cell>
        </row>
        <row r="66">
          <cell r="L66" t="str">
            <v>LOOSE ITEMS (EPC2A)</v>
          </cell>
        </row>
        <row r="67">
          <cell r="L67" t="str">
            <v>SSIV SKIDS (EPC2A)</v>
          </cell>
        </row>
        <row r="68">
          <cell r="L68" t="str">
            <v>STRUCTURE TRANSPORT</v>
          </cell>
        </row>
        <row r="69">
          <cell r="L69" t="str">
            <v>FAB YARD SUPERVISION</v>
          </cell>
        </row>
        <row r="70">
          <cell r="L70" t="str">
            <v>JACKET&amp;PILES (EPC2B)</v>
          </cell>
        </row>
        <row r="71">
          <cell r="L71" t="str">
            <v>DECK (EPC2B)</v>
          </cell>
        </row>
        <row r="72">
          <cell r="L72" t="str">
            <v>PRT WHP EQUIPMT (EPC 2 A)</v>
          </cell>
        </row>
        <row r="73">
          <cell r="L73" t="str">
            <v>PRT WHP EQUIPMT (EPC 2 B)</v>
          </cell>
        </row>
        <row r="74">
          <cell r="L74" t="str">
            <v>BOS 355 - PIPELAY (EPC 2 B)</v>
          </cell>
        </row>
        <row r="75">
          <cell r="L75" t="str">
            <v>BOS 355 - RISER INSTALL (EPC 2 B)</v>
          </cell>
        </row>
        <row r="76">
          <cell r="L76" t="str">
            <v>C8 - M/D (CONTINUITY)</v>
          </cell>
        </row>
        <row r="77">
          <cell r="L77" t="str">
            <v>C8 - PIPELAY (EPC 2 B)</v>
          </cell>
        </row>
        <row r="78">
          <cell r="L78" t="str">
            <v>SAIBOS 230 - SHORE APPROACH</v>
          </cell>
        </row>
        <row r="79">
          <cell r="L79" t="str">
            <v>SAIBOS 230 - TRENCHING</v>
          </cell>
        </row>
        <row r="80">
          <cell r="L80" t="str">
            <v>SAIBOS 230 - CPLTARY M/D</v>
          </cell>
        </row>
        <row r="81">
          <cell r="L81" t="str">
            <v>SURVEY VESSEL - AS-BUILT (EPC 2 B)</v>
          </cell>
        </row>
        <row r="82">
          <cell r="L82" t="str">
            <v>DIVING SUPPORT VESSEL - CROSSING INSTALL (EPC 2 B)</v>
          </cell>
        </row>
        <row r="83">
          <cell r="L83" t="str">
            <v>COMPLETIONS - D.R. bis</v>
          </cell>
        </row>
        <row r="84">
          <cell r="L84" t="str">
            <v>CB #2 - D.R.</v>
          </cell>
        </row>
        <row r="85">
          <cell r="L85" t="str">
            <v>MATTRESS TRANSPORT - D.R. (EPC 2 B)</v>
          </cell>
        </row>
        <row r="86">
          <cell r="L86" t="str">
            <v>GIANO - M/D</v>
          </cell>
        </row>
        <row r="87">
          <cell r="L87" t="str">
            <v>GIANO - D.R</v>
          </cell>
        </row>
        <row r="88">
          <cell r="L88" t="str">
            <v>ONSHORE PIPELAY - M/D</v>
          </cell>
        </row>
        <row r="89">
          <cell r="L89" t="str">
            <v>ONSHORE PIPELAY - D.R.</v>
          </cell>
        </row>
        <row r="90">
          <cell r="L90" t="str">
            <v>PIPE CRANAGE @ ONNE (EPC 2 B)</v>
          </cell>
        </row>
        <row r="91">
          <cell r="L91" t="str">
            <v>TRANSPORT BARE PIPE  (EPC 2 B)</v>
          </cell>
        </row>
        <row r="92">
          <cell r="L92" t="str">
            <v>PIPECOATING (EPC 2 B)</v>
          </cell>
        </row>
        <row r="93">
          <cell r="L93" t="str">
            <v>PRT ANODES  (EPC 2 B)</v>
          </cell>
        </row>
        <row r="94">
          <cell r="L94" t="str">
            <v>PRT PIPE  APPURTENANCES (EPC 2 B)</v>
          </cell>
        </row>
        <row r="95">
          <cell r="L95" t="str">
            <v>PRT MATTRESSES  (EPC 2 B)</v>
          </cell>
        </row>
        <row r="96">
          <cell r="L96" t="str">
            <v>PRT FJC CONSUMABLES (EPC 2 B)</v>
          </cell>
        </row>
        <row r="97">
          <cell r="L97" t="str">
            <v>INSTALLATION AIDS - EPC 2 B</v>
          </cell>
        </row>
        <row r="98">
          <cell r="L98" t="str">
            <v>RENTED EQUIPMENT - EPC 2 B</v>
          </cell>
        </row>
        <row r="99">
          <cell r="L99" t="str">
            <v>RENTED EQUIPMENT (NISSCO) - EPC 2 B</v>
          </cell>
        </row>
        <row r="100">
          <cell r="L100" t="str">
            <v>PRE-ENG GEOTECH SURVEY SHORE APPROACH</v>
          </cell>
        </row>
        <row r="101">
          <cell r="L101" t="str">
            <v>WELDING CONSUMABLES (EPC 2 B)</v>
          </cell>
        </row>
        <row r="102">
          <cell r="L102" t="str">
            <v>NDT CONSUMABLES (EPC 2 B)</v>
          </cell>
        </row>
        <row r="103">
          <cell r="L103" t="str">
            <v>DIVING CONSUMABLES (EPC 2 B)</v>
          </cell>
        </row>
        <row r="104">
          <cell r="L104" t="str">
            <v>DIR. DRILLING 1</v>
          </cell>
        </row>
        <row r="105">
          <cell r="L105" t="str">
            <v>DIR. DRILLING 2</v>
          </cell>
        </row>
        <row r="106">
          <cell r="L106" t="str">
            <v>WINCH INSTALLATION 1</v>
          </cell>
        </row>
        <row r="107">
          <cell r="L107" t="str">
            <v>WINCH INSTALLATION 2</v>
          </cell>
        </row>
        <row r="108">
          <cell r="L108" t="str">
            <v>COFFERDAM SIMPLE - M/D</v>
          </cell>
        </row>
        <row r="109">
          <cell r="L109" t="str">
            <v>COFFERDAM SIMPLE - D.R.</v>
          </cell>
        </row>
        <row r="110">
          <cell r="L110" t="str">
            <v>COFFERDAM DOUBLE - M/D</v>
          </cell>
        </row>
        <row r="111">
          <cell r="L111" t="str">
            <v>COFFERDAM DOUBLE - D.R.</v>
          </cell>
        </row>
        <row r="112">
          <cell r="L112" t="str">
            <v>PRT SSIV (EPC 2 A)</v>
          </cell>
        </row>
        <row r="113">
          <cell r="L113" t="str">
            <v>PRT SSIV (EPC 2 B)</v>
          </cell>
        </row>
        <row r="114">
          <cell r="L114" t="str">
            <v>BOS 355 - LONG TRANSIT</v>
          </cell>
        </row>
        <row r="115">
          <cell r="L115" t="str">
            <v>BOS 355 - UPGRADE</v>
          </cell>
        </row>
        <row r="116">
          <cell r="L116" t="str">
            <v>BOS 355 - CRANE UPGRADE</v>
          </cell>
        </row>
        <row r="117">
          <cell r="L117" t="str">
            <v>BOS 355 - M/D</v>
          </cell>
        </row>
        <row r="118">
          <cell r="L118" t="str">
            <v>BOS 355 - CPLTARY M/D 1</v>
          </cell>
        </row>
        <row r="119">
          <cell r="L119" t="str">
            <v>BOS 355 - CPLTARY M/D 2</v>
          </cell>
        </row>
        <row r="120">
          <cell r="L120" t="str">
            <v>BOS 355 - PIPELAY (EPC 2 A)</v>
          </cell>
        </row>
        <row r="121">
          <cell r="L121" t="str">
            <v>BOS 355 - RISER INSTALL (EPC 2 A)</v>
          </cell>
        </row>
        <row r="122">
          <cell r="L122" t="str">
            <v>BOS 355 - CREW ROTATIONS</v>
          </cell>
        </row>
        <row r="123">
          <cell r="L123" t="str">
            <v>C8 - M/D (NORMAL)</v>
          </cell>
        </row>
        <row r="124">
          <cell r="L124" t="str">
            <v>C8 - CPLTARY M/D</v>
          </cell>
        </row>
        <row r="125">
          <cell r="L125" t="str">
            <v>C8 - PIPELAY (EPC 2 A)</v>
          </cell>
        </row>
        <row r="126">
          <cell r="L126" t="str">
            <v>C8 - CREW ROTATIONS</v>
          </cell>
        </row>
        <row r="127">
          <cell r="L127" t="str">
            <v>SAIBOS 230 - M/D</v>
          </cell>
        </row>
        <row r="128">
          <cell r="L128" t="str">
            <v>SAIBOS 230 - UPGRADE</v>
          </cell>
        </row>
        <row r="129">
          <cell r="L129" t="str">
            <v>SAIBOS 230 - PIPELAY</v>
          </cell>
        </row>
        <row r="130">
          <cell r="L130" t="str">
            <v>SAIBOS 230 - CREW ROTATIONS</v>
          </cell>
        </row>
        <row r="131">
          <cell r="L131" t="str">
            <v>SURVEY VESSEL - M/D</v>
          </cell>
        </row>
        <row r="132">
          <cell r="L132" t="str">
            <v>SURVEY VESSEL - PRE-LAY</v>
          </cell>
        </row>
        <row r="133">
          <cell r="L133" t="str">
            <v>SURVEY VESSEL - AS-BUILT (EPC 2 A)</v>
          </cell>
        </row>
        <row r="134">
          <cell r="L134" t="str">
            <v>SURVEY VESSEL - CREW ROTATIONS</v>
          </cell>
        </row>
        <row r="135">
          <cell r="L135" t="str">
            <v>DIVING SUPPORT VESSEL - M/D</v>
          </cell>
        </row>
        <row r="136">
          <cell r="L136" t="str">
            <v>DIVING SUPPORT VESSEL - CROSSING INSTALL (EPC 2 A)</v>
          </cell>
        </row>
        <row r="137">
          <cell r="L137" t="str">
            <v>DIVING SUPPORT VESSEL - CREW ROTATIONS</v>
          </cell>
        </row>
        <row r="138">
          <cell r="L138" t="str">
            <v>HOOK-UP VESSEL - M/D</v>
          </cell>
        </row>
        <row r="139">
          <cell r="L139" t="str">
            <v>COMPLETIONS - M/D</v>
          </cell>
        </row>
        <row r="140">
          <cell r="L140" t="str">
            <v>COMPLETIONS - D.R.</v>
          </cell>
        </row>
        <row r="141">
          <cell r="L141" t="str">
            <v>HOOK-UP VESSEL - CREW ROTATIONS</v>
          </cell>
        </row>
        <row r="142">
          <cell r="L142" t="str">
            <v>CB #1 - M/D</v>
          </cell>
        </row>
        <row r="143">
          <cell r="L143" t="str">
            <v>CB #1 - D.R.</v>
          </cell>
        </row>
        <row r="144">
          <cell r="L144" t="str">
            <v>MATTRESS TRANSPORT - M/D</v>
          </cell>
        </row>
        <row r="145">
          <cell r="L145" t="str">
            <v>MATTRESS TRANSPORT - D.R.</v>
          </cell>
        </row>
        <row r="146">
          <cell r="L146" t="str">
            <v>SB 103 M/D</v>
          </cell>
        </row>
        <row r="147">
          <cell r="L147" t="str">
            <v>PIPE STORAGE @ ONNE</v>
          </cell>
        </row>
        <row r="148">
          <cell r="L148" t="str">
            <v>PIPE CRANAGE @ ONNE</v>
          </cell>
        </row>
        <row r="149">
          <cell r="L149" t="str">
            <v>TRANSPORT BARE PIPE  (EPC 2 A)</v>
          </cell>
        </row>
        <row r="150">
          <cell r="L150" t="str">
            <v>PIPECOATING (EPC 2 A)</v>
          </cell>
        </row>
        <row r="151">
          <cell r="L151" t="str">
            <v>PRT ANODES  (EPC 2 A)</v>
          </cell>
        </row>
        <row r="152">
          <cell r="L152" t="str">
            <v>PRT PIPE  APPURTENANCES (EPC 2 A)</v>
          </cell>
        </row>
        <row r="153">
          <cell r="L153" t="str">
            <v>PRT MATTRESSES  (EPC 2 A)</v>
          </cell>
        </row>
        <row r="154">
          <cell r="L154" t="str">
            <v>PRT FJC CONSUMABLES (EPC 2 A)</v>
          </cell>
        </row>
        <row r="155">
          <cell r="L155" t="str">
            <v>NIGERIAN DUES</v>
          </cell>
        </row>
        <row r="156">
          <cell r="L156" t="str">
            <v>INSTALLATION AIDS - EPC 2 A</v>
          </cell>
        </row>
        <row r="157">
          <cell r="L157" t="str">
            <v>RENTED EQUIPMENT - EPC 2 A</v>
          </cell>
        </row>
        <row r="158">
          <cell r="L158" t="str">
            <v>RENTED EQUIPMENT (NISSCO) - EPC 2 A</v>
          </cell>
        </row>
        <row r="159">
          <cell r="L159" t="str">
            <v>PRE-ENG GEOTECH SURVEY OFFSHORE</v>
          </cell>
        </row>
        <row r="160">
          <cell r="L160" t="str">
            <v>WELDING CONSUMABLES (EPC 2 A)</v>
          </cell>
        </row>
        <row r="161">
          <cell r="L161" t="str">
            <v>NDT CONSUMABLES (EPC 2 A)</v>
          </cell>
        </row>
        <row r="162">
          <cell r="L162" t="str">
            <v>DIVING CONSUMABLES (EPC 2 A)</v>
          </cell>
        </row>
        <row r="163">
          <cell r="L163" t="str">
            <v>WEATHER STAND-BY</v>
          </cell>
        </row>
        <row r="164">
          <cell r="L164" t="str">
            <v>TESTING VESSEL - M/D</v>
          </cell>
        </row>
        <row r="165">
          <cell r="L165" t="str">
            <v>TESTING VESSEL - EPC 2 A</v>
          </cell>
        </row>
        <row r="166">
          <cell r="L166" t="str">
            <v>TESTING VESSEL - EPC 2 B</v>
          </cell>
        </row>
      </sheetData>
      <sheetData sheetId="3" refreshError="1">
        <row r="209">
          <cell r="CE209">
            <v>227358.79188939699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nical Part A"/>
      <sheetName val="Execution Part B"/>
      <sheetName val="Host Country Part C"/>
      <sheetName val="Add Info Part D"/>
      <sheetName val="New Clarifications"/>
      <sheetName val="Technical_Part_A"/>
      <sheetName val="Execution_Part_B"/>
      <sheetName val="Host_Country_Part_C"/>
      <sheetName val="Add_Info_Part_D"/>
      <sheetName val="New_Clarifications"/>
      <sheetName val="Technical_Part_A1"/>
      <sheetName val="Execution_Part_B1"/>
      <sheetName val="Host_Country_Part_C1"/>
      <sheetName val="Add_Info_Part_D1"/>
      <sheetName val="New_Clarifications1"/>
      <sheetName val="SummaryComb2018a3prcnt"/>
      <sheetName val="data"/>
      <sheetName val="EPC3 ITT Eval Rev A"/>
      <sheetName val="Material"/>
      <sheetName val="E&amp;I"/>
      <sheetName val="TRANSPORT"/>
    </sheetNames>
    <sheetDataSet>
      <sheetData sheetId="0">
        <row r="4">
          <cell r="F4">
            <v>5</v>
          </cell>
        </row>
      </sheetData>
      <sheetData sheetId="1">
        <row r="4">
          <cell r="G4">
            <v>55</v>
          </cell>
          <cell r="I4">
            <v>11.000000000000002</v>
          </cell>
          <cell r="K4">
            <v>55</v>
          </cell>
          <cell r="M4">
            <v>33</v>
          </cell>
          <cell r="O4">
            <v>55</v>
          </cell>
          <cell r="Q4">
            <v>55.000000000000007</v>
          </cell>
        </row>
        <row r="16">
          <cell r="G16">
            <v>5</v>
          </cell>
          <cell r="I16">
            <v>1</v>
          </cell>
          <cell r="K16">
            <v>5</v>
          </cell>
          <cell r="M16">
            <v>3</v>
          </cell>
          <cell r="O16">
            <v>5</v>
          </cell>
          <cell r="Q16">
            <v>5</v>
          </cell>
        </row>
        <row r="18">
          <cell r="G18">
            <v>5</v>
          </cell>
          <cell r="I18">
            <v>1</v>
          </cell>
          <cell r="K18">
            <v>5</v>
          </cell>
          <cell r="M18">
            <v>3</v>
          </cell>
          <cell r="O18">
            <v>5</v>
          </cell>
          <cell r="Q18">
            <v>5</v>
          </cell>
        </row>
      </sheetData>
      <sheetData sheetId="2">
        <row r="4">
          <cell r="F4">
            <v>55</v>
          </cell>
          <cell r="H4">
            <v>11.000000000000004</v>
          </cell>
          <cell r="J4">
            <v>55</v>
          </cell>
          <cell r="L4">
            <v>32.999999999999993</v>
          </cell>
          <cell r="N4">
            <v>55</v>
          </cell>
          <cell r="P4">
            <v>55</v>
          </cell>
        </row>
        <row r="16">
          <cell r="F16">
            <v>10</v>
          </cell>
          <cell r="H16">
            <v>2</v>
          </cell>
          <cell r="J16">
            <v>10</v>
          </cell>
          <cell r="L16">
            <v>6</v>
          </cell>
          <cell r="N16">
            <v>10</v>
          </cell>
          <cell r="P16">
            <v>10</v>
          </cell>
        </row>
        <row r="19">
          <cell r="F19">
            <v>5</v>
          </cell>
          <cell r="H19">
            <v>1</v>
          </cell>
          <cell r="J19">
            <v>5</v>
          </cell>
          <cell r="L19">
            <v>3</v>
          </cell>
          <cell r="N19">
            <v>5</v>
          </cell>
          <cell r="P19">
            <v>5</v>
          </cell>
        </row>
        <row r="21">
          <cell r="F21">
            <v>5</v>
          </cell>
          <cell r="H21">
            <v>1</v>
          </cell>
          <cell r="J21">
            <v>5</v>
          </cell>
          <cell r="L21">
            <v>3</v>
          </cell>
          <cell r="N21">
            <v>5</v>
          </cell>
          <cell r="P21">
            <v>5</v>
          </cell>
        </row>
        <row r="23">
          <cell r="F23">
            <v>25</v>
          </cell>
          <cell r="H23">
            <v>5</v>
          </cell>
          <cell r="J23">
            <v>25</v>
          </cell>
          <cell r="L23">
            <v>15</v>
          </cell>
          <cell r="N23">
            <v>25</v>
          </cell>
          <cell r="P23">
            <v>25</v>
          </cell>
        </row>
        <row r="29">
          <cell r="F29">
            <v>15</v>
          </cell>
          <cell r="H29">
            <v>3</v>
          </cell>
          <cell r="J29">
            <v>15</v>
          </cell>
          <cell r="L29">
            <v>8.9999999999999982</v>
          </cell>
          <cell r="N29">
            <v>15</v>
          </cell>
          <cell r="P29">
            <v>15</v>
          </cell>
        </row>
        <row r="33">
          <cell r="F33">
            <v>5</v>
          </cell>
          <cell r="H33">
            <v>1</v>
          </cell>
          <cell r="J33">
            <v>5</v>
          </cell>
          <cell r="L33">
            <v>3</v>
          </cell>
          <cell r="N33">
            <v>5</v>
          </cell>
          <cell r="P33">
            <v>5</v>
          </cell>
        </row>
        <row r="35">
          <cell r="F35">
            <v>5</v>
          </cell>
          <cell r="H35">
            <v>1</v>
          </cell>
          <cell r="J35">
            <v>5</v>
          </cell>
          <cell r="L35">
            <v>3</v>
          </cell>
          <cell r="N35">
            <v>5</v>
          </cell>
          <cell r="P35">
            <v>5</v>
          </cell>
        </row>
        <row r="37">
          <cell r="F37">
            <v>5</v>
          </cell>
          <cell r="H37">
            <v>1</v>
          </cell>
          <cell r="J37">
            <v>5</v>
          </cell>
          <cell r="L37">
            <v>3</v>
          </cell>
          <cell r="N37">
            <v>5</v>
          </cell>
          <cell r="P37">
            <v>5</v>
          </cell>
        </row>
        <row r="39">
          <cell r="F39">
            <v>5</v>
          </cell>
          <cell r="H39">
            <v>1</v>
          </cell>
          <cell r="J39">
            <v>5</v>
          </cell>
          <cell r="L39">
            <v>3</v>
          </cell>
          <cell r="N39">
            <v>5</v>
          </cell>
          <cell r="P39">
            <v>5</v>
          </cell>
        </row>
        <row r="41">
          <cell r="F41">
            <v>5</v>
          </cell>
          <cell r="H41">
            <v>1</v>
          </cell>
          <cell r="J41">
            <v>5</v>
          </cell>
          <cell r="L41">
            <v>3</v>
          </cell>
          <cell r="N41">
            <v>5</v>
          </cell>
          <cell r="P41">
            <v>5</v>
          </cell>
        </row>
        <row r="43">
          <cell r="F43">
            <v>5</v>
          </cell>
          <cell r="H43">
            <v>1</v>
          </cell>
          <cell r="J43">
            <v>5</v>
          </cell>
          <cell r="L43">
            <v>3</v>
          </cell>
          <cell r="N43">
            <v>5</v>
          </cell>
          <cell r="P43">
            <v>5</v>
          </cell>
        </row>
        <row r="45">
          <cell r="F45">
            <v>5</v>
          </cell>
          <cell r="H45">
            <v>1</v>
          </cell>
          <cell r="J45">
            <v>25</v>
          </cell>
          <cell r="L45">
            <v>15</v>
          </cell>
          <cell r="N45">
            <v>25</v>
          </cell>
          <cell r="P45">
            <v>25</v>
          </cell>
        </row>
        <row r="51">
          <cell r="F51">
            <v>5</v>
          </cell>
          <cell r="H51">
            <v>1</v>
          </cell>
          <cell r="J51">
            <v>5</v>
          </cell>
          <cell r="L51">
            <v>3</v>
          </cell>
          <cell r="N51">
            <v>5</v>
          </cell>
          <cell r="P51">
            <v>5</v>
          </cell>
        </row>
        <row r="53">
          <cell r="F53">
            <v>5</v>
          </cell>
          <cell r="H53">
            <v>1</v>
          </cell>
          <cell r="J53">
            <v>5</v>
          </cell>
          <cell r="L53">
            <v>3</v>
          </cell>
          <cell r="N53">
            <v>5</v>
          </cell>
          <cell r="P53">
            <v>5</v>
          </cell>
        </row>
        <row r="55">
          <cell r="F55">
            <v>5</v>
          </cell>
          <cell r="H55">
            <v>1</v>
          </cell>
          <cell r="J55">
            <v>5</v>
          </cell>
          <cell r="L55">
            <v>3</v>
          </cell>
          <cell r="N55">
            <v>5</v>
          </cell>
          <cell r="P55">
            <v>5</v>
          </cell>
        </row>
      </sheetData>
      <sheetData sheetId="3">
        <row r="4">
          <cell r="F4">
            <v>5</v>
          </cell>
          <cell r="H4">
            <v>1</v>
          </cell>
          <cell r="J4">
            <v>5</v>
          </cell>
          <cell r="L4">
            <v>3</v>
          </cell>
          <cell r="N4">
            <v>5</v>
          </cell>
          <cell r="P4">
            <v>5</v>
          </cell>
        </row>
        <row r="6">
          <cell r="F6">
            <v>10</v>
          </cell>
          <cell r="H6">
            <v>2</v>
          </cell>
          <cell r="J6">
            <v>10</v>
          </cell>
          <cell r="L6">
            <v>6</v>
          </cell>
          <cell r="N6">
            <v>10</v>
          </cell>
          <cell r="P6">
            <v>10</v>
          </cell>
        </row>
      </sheetData>
      <sheetData sheetId="4">
        <row r="4">
          <cell r="F4">
            <v>5</v>
          </cell>
          <cell r="H4">
            <v>0</v>
          </cell>
          <cell r="J4">
            <v>5</v>
          </cell>
          <cell r="L4">
            <v>0</v>
          </cell>
          <cell r="N4">
            <v>5</v>
          </cell>
          <cell r="P4">
            <v>0</v>
          </cell>
        </row>
        <row r="6">
          <cell r="F6">
            <v>5</v>
          </cell>
          <cell r="H6">
            <v>1</v>
          </cell>
          <cell r="J6">
            <v>5</v>
          </cell>
          <cell r="L6">
            <v>3</v>
          </cell>
          <cell r="N6">
            <v>5</v>
          </cell>
          <cell r="P6">
            <v>5</v>
          </cell>
        </row>
      </sheetData>
      <sheetData sheetId="5"/>
      <sheetData sheetId="6">
        <row r="4">
          <cell r="F4">
            <v>5</v>
          </cell>
        </row>
      </sheetData>
      <sheetData sheetId="7">
        <row r="4">
          <cell r="F4">
            <v>55</v>
          </cell>
        </row>
      </sheetData>
      <sheetData sheetId="8">
        <row r="4">
          <cell r="F4">
            <v>5</v>
          </cell>
        </row>
      </sheetData>
      <sheetData sheetId="9">
        <row r="4">
          <cell r="F4">
            <v>5</v>
          </cell>
        </row>
      </sheetData>
      <sheetData sheetId="10"/>
      <sheetData sheetId="11">
        <row r="4">
          <cell r="G4">
            <v>55</v>
          </cell>
        </row>
      </sheetData>
      <sheetData sheetId="12">
        <row r="4">
          <cell r="F4">
            <v>55</v>
          </cell>
        </row>
      </sheetData>
      <sheetData sheetId="13">
        <row r="4">
          <cell r="F4">
            <v>5</v>
          </cell>
        </row>
      </sheetData>
      <sheetData sheetId="14">
        <row r="4">
          <cell r="F4">
            <v>5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 Design List"/>
      <sheetName val="Forecast Model Inputs"/>
      <sheetName val="Spend Estimate (2)"/>
      <sheetName val="Spend Estimate"/>
      <sheetName val="Consignment Graph"/>
      <sheetName val="Consignment Graph (2)"/>
      <sheetName val="Consignment Graph (3)"/>
      <sheetName val="21-22 Orders"/>
      <sheetName val="Forecast Model Inputs (2)"/>
      <sheetName val="New Spec"/>
      <sheetName val="Old Spec"/>
      <sheetName val="Sheet5"/>
      <sheetName val="Sheet3"/>
      <sheetName val="Sheet1"/>
    </sheetNames>
    <sheetDataSet>
      <sheetData sheetId="0"/>
      <sheetData sheetId="1">
        <row r="4">
          <cell r="E4">
            <v>2071.1333333333332</v>
          </cell>
        </row>
        <row r="5">
          <cell r="E5">
            <v>2065.8333333333335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7"/>
  <sheetViews>
    <sheetView tabSelected="1" topLeftCell="A21" zoomScale="85" zoomScaleNormal="85" workbookViewId="0">
      <selection activeCell="A39" sqref="A39"/>
    </sheetView>
  </sheetViews>
  <sheetFormatPr defaultColWidth="8.69140625" defaultRowHeight="14.15" x14ac:dyDescent="0.35"/>
  <cols>
    <col min="1" max="1" width="8.84375" style="1" customWidth="1"/>
    <col min="2" max="2" width="27.3828125" style="2" bestFit="1" customWidth="1"/>
    <col min="3" max="3" width="16.69140625" style="1" customWidth="1"/>
    <col min="4" max="4" width="28.69140625" style="1" customWidth="1"/>
    <col min="5" max="5" width="20" style="1" bestFit="1" customWidth="1"/>
    <col min="6" max="6" width="11.23046875" style="1" customWidth="1"/>
    <col min="7" max="7" width="44" style="1" customWidth="1"/>
    <col min="8" max="8" width="22.23046875" style="1" customWidth="1"/>
    <col min="9" max="9" width="17" style="1" customWidth="1"/>
    <col min="10" max="10" width="19.69140625" style="1" customWidth="1"/>
    <col min="11" max="11" width="26.69140625" style="1" customWidth="1"/>
    <col min="12" max="12" width="25.69140625" style="1" customWidth="1"/>
    <col min="13" max="15" width="19.23046875" style="1" customWidth="1"/>
    <col min="16" max="16" width="10.69140625" style="2" customWidth="1"/>
    <col min="17" max="17" width="17.69140625" style="2" customWidth="1"/>
    <col min="18" max="18" width="23.53515625" style="1" customWidth="1"/>
    <col min="19" max="16384" width="8.69140625" style="1"/>
  </cols>
  <sheetData>
    <row r="1" spans="1:18" ht="17.600000000000001" x14ac:dyDescent="0.35">
      <c r="B1" s="76" t="s">
        <v>123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18" ht="17.600000000000001" x14ac:dyDescent="0.35">
      <c r="B2" s="76" t="s">
        <v>55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4" spans="1:18" ht="28.3" customHeight="1" x14ac:dyDescent="0.35">
      <c r="A4" s="80" t="s">
        <v>67</v>
      </c>
      <c r="B4" s="80" t="s">
        <v>68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69" t="s">
        <v>52</v>
      </c>
      <c r="N4" s="69" t="s">
        <v>33</v>
      </c>
      <c r="O4" s="69" t="s">
        <v>36</v>
      </c>
      <c r="P4" s="80" t="s">
        <v>35</v>
      </c>
      <c r="Q4" s="80" t="s">
        <v>54</v>
      </c>
      <c r="R4" s="80" t="s">
        <v>62</v>
      </c>
    </row>
    <row r="5" spans="1:18" ht="28.3" x14ac:dyDescent="0.35">
      <c r="A5" s="80"/>
      <c r="B5" s="3" t="s">
        <v>63</v>
      </c>
      <c r="C5" s="3" t="s">
        <v>34</v>
      </c>
      <c r="D5" s="3" t="s">
        <v>64</v>
      </c>
      <c r="E5" s="3" t="s">
        <v>12</v>
      </c>
      <c r="F5" s="3" t="s">
        <v>14</v>
      </c>
      <c r="G5" s="3" t="s">
        <v>13</v>
      </c>
      <c r="H5" s="3" t="s">
        <v>20</v>
      </c>
      <c r="I5" s="3" t="s">
        <v>15</v>
      </c>
      <c r="J5" s="3" t="s">
        <v>53</v>
      </c>
      <c r="K5" s="3" t="s">
        <v>4</v>
      </c>
      <c r="L5" s="3" t="s">
        <v>3</v>
      </c>
      <c r="M5" s="3" t="s">
        <v>66</v>
      </c>
      <c r="N5" s="3" t="s">
        <v>66</v>
      </c>
      <c r="O5" s="3" t="s">
        <v>66</v>
      </c>
      <c r="P5" s="80"/>
      <c r="Q5" s="80"/>
      <c r="R5" s="80"/>
    </row>
    <row r="6" spans="1:18" ht="16.5" customHeight="1" x14ac:dyDescent="0.35">
      <c r="A6" s="73" t="s">
        <v>116</v>
      </c>
      <c r="B6" s="5" t="s">
        <v>46</v>
      </c>
      <c r="C6" s="5">
        <v>726.23</v>
      </c>
      <c r="D6" s="5">
        <v>2</v>
      </c>
      <c r="E6" s="5" t="s">
        <v>16</v>
      </c>
      <c r="F6" s="5" t="s">
        <v>17</v>
      </c>
      <c r="G6" s="5" t="s">
        <v>40</v>
      </c>
      <c r="H6" s="5" t="s">
        <v>19</v>
      </c>
      <c r="I6" s="5" t="s">
        <v>21</v>
      </c>
      <c r="J6" s="5" t="s">
        <v>41</v>
      </c>
      <c r="K6" s="4"/>
      <c r="L6" s="4"/>
      <c r="M6" s="4"/>
      <c r="N6" s="4"/>
      <c r="O6" s="4"/>
      <c r="P6" s="5"/>
      <c r="Q6" s="5"/>
      <c r="R6" s="5"/>
    </row>
    <row r="7" spans="1:18" ht="16.5" customHeight="1" x14ac:dyDescent="0.35">
      <c r="A7" s="74"/>
      <c r="B7" s="5">
        <v>36</v>
      </c>
      <c r="C7" s="5">
        <v>726.23</v>
      </c>
      <c r="D7" s="5">
        <v>2</v>
      </c>
      <c r="E7" s="5" t="s">
        <v>16</v>
      </c>
      <c r="F7" s="5" t="s">
        <v>17</v>
      </c>
      <c r="G7" s="5" t="s">
        <v>18</v>
      </c>
      <c r="H7" s="5" t="s">
        <v>19</v>
      </c>
      <c r="I7" s="5" t="s">
        <v>21</v>
      </c>
      <c r="J7" s="5" t="s">
        <v>41</v>
      </c>
      <c r="K7" s="4"/>
      <c r="L7" s="4"/>
      <c r="M7" s="4"/>
      <c r="N7" s="4"/>
      <c r="O7" s="4"/>
      <c r="P7" s="5"/>
      <c r="Q7" s="5"/>
      <c r="R7" s="5"/>
    </row>
    <row r="8" spans="1:18" x14ac:dyDescent="0.35">
      <c r="A8" s="74"/>
      <c r="B8" s="5" t="s">
        <v>23</v>
      </c>
      <c r="C8" s="5">
        <v>552.69000000000005</v>
      </c>
      <c r="D8" s="5" t="s">
        <v>31</v>
      </c>
      <c r="E8" s="5" t="s">
        <v>16</v>
      </c>
      <c r="F8" s="5" t="s">
        <v>17</v>
      </c>
      <c r="G8" s="5" t="s">
        <v>18</v>
      </c>
      <c r="H8" s="5" t="s">
        <v>37</v>
      </c>
      <c r="I8" s="5" t="s">
        <v>21</v>
      </c>
      <c r="J8" s="5" t="s">
        <v>41</v>
      </c>
      <c r="K8" s="4"/>
      <c r="L8" s="4"/>
      <c r="M8" s="4"/>
      <c r="N8" s="4"/>
      <c r="O8" s="4"/>
      <c r="P8" s="5"/>
      <c r="Q8" s="5"/>
      <c r="R8" s="5"/>
    </row>
    <row r="9" spans="1:18" x14ac:dyDescent="0.35">
      <c r="A9" s="74"/>
      <c r="B9" s="5">
        <v>36</v>
      </c>
      <c r="C9" s="5">
        <v>552.69000000000005</v>
      </c>
      <c r="D9" s="5">
        <v>1.5</v>
      </c>
      <c r="E9" s="5" t="s">
        <v>16</v>
      </c>
      <c r="F9" s="5" t="s">
        <v>17</v>
      </c>
      <c r="G9" s="5" t="s">
        <v>18</v>
      </c>
      <c r="H9" s="5" t="s">
        <v>22</v>
      </c>
      <c r="I9" s="5" t="s">
        <v>21</v>
      </c>
      <c r="J9" s="5" t="s">
        <v>47</v>
      </c>
      <c r="K9" s="4"/>
      <c r="L9" s="4"/>
      <c r="M9" s="4"/>
      <c r="N9" s="4"/>
      <c r="O9" s="4"/>
      <c r="P9" s="5"/>
      <c r="Q9" s="5"/>
      <c r="R9" s="5"/>
    </row>
    <row r="10" spans="1:18" x14ac:dyDescent="0.35">
      <c r="A10" s="74"/>
      <c r="B10" s="5" t="s">
        <v>39</v>
      </c>
      <c r="C10" s="5">
        <v>552.69000000000005</v>
      </c>
      <c r="D10" s="5">
        <v>1.5</v>
      </c>
      <c r="E10" s="5" t="s">
        <v>16</v>
      </c>
      <c r="F10" s="5" t="s">
        <v>17</v>
      </c>
      <c r="G10" s="5" t="s">
        <v>38</v>
      </c>
      <c r="H10" s="5" t="s">
        <v>22</v>
      </c>
      <c r="I10" s="5" t="s">
        <v>21</v>
      </c>
      <c r="J10" s="5" t="s">
        <v>41</v>
      </c>
      <c r="K10" s="4"/>
      <c r="L10" s="4"/>
      <c r="M10" s="4"/>
      <c r="N10" s="4"/>
      <c r="O10" s="4"/>
      <c r="P10" s="5"/>
      <c r="Q10" s="5"/>
      <c r="R10" s="5"/>
    </row>
    <row r="11" spans="1:18" x14ac:dyDescent="0.35">
      <c r="A11" s="74"/>
      <c r="B11" s="8" t="s">
        <v>45</v>
      </c>
      <c r="C11" s="5">
        <v>205.75</v>
      </c>
      <c r="D11" s="5">
        <v>1</v>
      </c>
      <c r="E11" s="5" t="s">
        <v>24</v>
      </c>
      <c r="F11" s="5" t="s">
        <v>17</v>
      </c>
      <c r="G11" s="5" t="s">
        <v>42</v>
      </c>
      <c r="H11" s="5" t="s">
        <v>19</v>
      </c>
      <c r="I11" s="5" t="s">
        <v>21</v>
      </c>
      <c r="J11" s="5" t="s">
        <v>41</v>
      </c>
      <c r="K11" s="4"/>
      <c r="L11" s="4"/>
      <c r="M11" s="4"/>
      <c r="N11" s="4"/>
      <c r="O11" s="4"/>
      <c r="P11" s="5"/>
      <c r="Q11" s="5"/>
      <c r="R11" s="5"/>
    </row>
    <row r="12" spans="1:18" x14ac:dyDescent="0.35">
      <c r="A12" s="74"/>
      <c r="B12" s="8">
        <v>20</v>
      </c>
      <c r="C12" s="5">
        <v>205.75</v>
      </c>
      <c r="D12" s="5">
        <v>1</v>
      </c>
      <c r="E12" s="5" t="s">
        <v>24</v>
      </c>
      <c r="F12" s="5" t="s">
        <v>17</v>
      </c>
      <c r="G12" s="5" t="s">
        <v>25</v>
      </c>
      <c r="H12" s="5" t="s">
        <v>19</v>
      </c>
      <c r="I12" s="5" t="s">
        <v>21</v>
      </c>
      <c r="J12" s="5" t="s">
        <v>48</v>
      </c>
      <c r="K12" s="4"/>
      <c r="L12" s="4"/>
      <c r="M12" s="4"/>
      <c r="N12" s="4"/>
      <c r="O12" s="4"/>
      <c r="P12" s="5"/>
      <c r="Q12" s="5"/>
      <c r="R12" s="5"/>
    </row>
    <row r="13" spans="1:18" x14ac:dyDescent="0.35">
      <c r="A13" s="74"/>
      <c r="B13" s="8" t="s">
        <v>45</v>
      </c>
      <c r="C13" s="5">
        <v>205.75</v>
      </c>
      <c r="D13" s="5">
        <v>1</v>
      </c>
      <c r="E13" s="5" t="s">
        <v>16</v>
      </c>
      <c r="F13" s="5" t="s">
        <v>17</v>
      </c>
      <c r="G13" s="5" t="s">
        <v>42</v>
      </c>
      <c r="H13" s="5" t="s">
        <v>19</v>
      </c>
      <c r="I13" s="5" t="s">
        <v>21</v>
      </c>
      <c r="J13" s="72" t="s">
        <v>49</v>
      </c>
      <c r="K13" s="4"/>
      <c r="L13" s="4"/>
      <c r="M13" s="4"/>
      <c r="N13" s="4"/>
      <c r="O13" s="4"/>
      <c r="P13" s="5"/>
      <c r="Q13" s="5"/>
      <c r="R13" s="5"/>
    </row>
    <row r="14" spans="1:18" x14ac:dyDescent="0.35">
      <c r="A14" s="74"/>
      <c r="B14" s="8">
        <v>20</v>
      </c>
      <c r="C14" s="5">
        <v>205.75</v>
      </c>
      <c r="D14" s="5">
        <v>1</v>
      </c>
      <c r="E14" s="5" t="s">
        <v>16</v>
      </c>
      <c r="F14" s="5" t="s">
        <v>17</v>
      </c>
      <c r="G14" s="5" t="s">
        <v>25</v>
      </c>
      <c r="H14" s="5" t="s">
        <v>19</v>
      </c>
      <c r="I14" s="5" t="s">
        <v>21</v>
      </c>
      <c r="J14" s="72" t="s">
        <v>50</v>
      </c>
      <c r="K14" s="4"/>
      <c r="L14" s="4"/>
      <c r="M14" s="4"/>
      <c r="N14" s="4"/>
      <c r="O14" s="4"/>
      <c r="P14" s="5"/>
      <c r="Q14" s="5"/>
      <c r="R14" s="5"/>
    </row>
    <row r="15" spans="1:18" x14ac:dyDescent="0.35">
      <c r="A15" s="74"/>
      <c r="B15" s="8">
        <v>20</v>
      </c>
      <c r="C15" s="5">
        <v>166.4</v>
      </c>
      <c r="D15" s="5">
        <v>0.81200000000000006</v>
      </c>
      <c r="E15" s="5" t="s">
        <v>16</v>
      </c>
      <c r="F15" s="5" t="s">
        <v>17</v>
      </c>
      <c r="G15" s="5" t="s">
        <v>25</v>
      </c>
      <c r="H15" s="5" t="s">
        <v>22</v>
      </c>
      <c r="I15" s="5" t="s">
        <v>21</v>
      </c>
      <c r="J15" s="72" t="s">
        <v>51</v>
      </c>
      <c r="K15" s="4"/>
      <c r="L15" s="4"/>
      <c r="M15" s="4"/>
      <c r="N15" s="4"/>
      <c r="O15" s="4"/>
      <c r="P15" s="5"/>
      <c r="Q15" s="5"/>
      <c r="R15" s="5"/>
    </row>
    <row r="16" spans="1:18" x14ac:dyDescent="0.35">
      <c r="A16" s="74"/>
      <c r="B16" s="8">
        <v>20</v>
      </c>
      <c r="C16" s="5">
        <v>156</v>
      </c>
      <c r="D16" s="9">
        <v>0.75</v>
      </c>
      <c r="E16" s="5" t="s">
        <v>24</v>
      </c>
      <c r="F16" s="5" t="s">
        <v>17</v>
      </c>
      <c r="G16" s="5" t="s">
        <v>25</v>
      </c>
      <c r="H16" s="5" t="s">
        <v>22</v>
      </c>
      <c r="I16" s="5" t="s">
        <v>21</v>
      </c>
      <c r="J16" s="5">
        <v>2250</v>
      </c>
      <c r="K16" s="4"/>
      <c r="L16" s="4"/>
      <c r="M16" s="4"/>
      <c r="N16" s="4"/>
      <c r="O16" s="4"/>
      <c r="P16" s="5"/>
      <c r="Q16" s="5"/>
      <c r="R16" s="5"/>
    </row>
    <row r="17" spans="1:18" x14ac:dyDescent="0.35">
      <c r="A17" s="74"/>
      <c r="B17" s="8">
        <v>20</v>
      </c>
      <c r="C17" s="10">
        <v>147</v>
      </c>
      <c r="D17" s="5">
        <v>0.70899999999999996</v>
      </c>
      <c r="E17" s="5" t="s">
        <v>27</v>
      </c>
      <c r="F17" s="5" t="s">
        <v>28</v>
      </c>
      <c r="G17" s="5" t="s">
        <v>29</v>
      </c>
      <c r="H17" s="5" t="s">
        <v>22</v>
      </c>
      <c r="I17" s="5" t="s">
        <v>21</v>
      </c>
      <c r="J17" s="72" t="s">
        <v>51</v>
      </c>
      <c r="K17" s="4"/>
      <c r="L17" s="4"/>
      <c r="M17" s="4"/>
      <c r="N17" s="4"/>
      <c r="O17" s="4"/>
      <c r="P17" s="5"/>
      <c r="Q17" s="5"/>
      <c r="R17" s="5"/>
    </row>
    <row r="18" spans="1:18" x14ac:dyDescent="0.35">
      <c r="A18" s="74"/>
      <c r="B18" s="8">
        <v>20</v>
      </c>
      <c r="C18" s="5">
        <v>129.33000000000001</v>
      </c>
      <c r="D18" s="5">
        <v>0.625</v>
      </c>
      <c r="E18" s="5" t="s">
        <v>30</v>
      </c>
      <c r="F18" s="5" t="s">
        <v>17</v>
      </c>
      <c r="G18" s="5" t="s">
        <v>25</v>
      </c>
      <c r="H18" s="5" t="s">
        <v>22</v>
      </c>
      <c r="I18" s="5" t="s">
        <v>21</v>
      </c>
      <c r="J18" s="72" t="s">
        <v>51</v>
      </c>
      <c r="K18" s="4"/>
      <c r="L18" s="4"/>
      <c r="M18" s="4"/>
      <c r="N18" s="4"/>
      <c r="O18" s="4"/>
      <c r="P18" s="5"/>
      <c r="Q18" s="5"/>
      <c r="R18" s="5"/>
    </row>
    <row r="19" spans="1:18" ht="42.45" x14ac:dyDescent="0.35">
      <c r="A19" s="74"/>
      <c r="B19" s="8" t="s">
        <v>26</v>
      </c>
      <c r="C19" s="5">
        <v>166.4</v>
      </c>
      <c r="D19" s="5">
        <v>0.81200000000000006</v>
      </c>
      <c r="E19" s="5" t="s">
        <v>16</v>
      </c>
      <c r="F19" s="5" t="s">
        <v>17</v>
      </c>
      <c r="G19" s="11" t="s">
        <v>122</v>
      </c>
      <c r="H19" s="5" t="s">
        <v>22</v>
      </c>
      <c r="I19" s="5" t="s">
        <v>21</v>
      </c>
      <c r="J19" s="72" t="s">
        <v>44</v>
      </c>
      <c r="K19" s="4"/>
      <c r="L19" s="4"/>
      <c r="M19" s="4"/>
      <c r="N19" s="4"/>
      <c r="O19" s="4"/>
      <c r="P19" s="5"/>
      <c r="Q19" s="5"/>
      <c r="R19" s="5"/>
    </row>
    <row r="20" spans="1:18" ht="42.45" x14ac:dyDescent="0.35">
      <c r="A20" s="74"/>
      <c r="B20" s="8" t="s">
        <v>26</v>
      </c>
      <c r="C20" s="5">
        <v>156</v>
      </c>
      <c r="D20" s="9">
        <v>0.75</v>
      </c>
      <c r="E20" s="5" t="s">
        <v>24</v>
      </c>
      <c r="F20" s="5" t="s">
        <v>17</v>
      </c>
      <c r="G20" s="11" t="s">
        <v>122</v>
      </c>
      <c r="H20" s="5" t="s">
        <v>22</v>
      </c>
      <c r="I20" s="5" t="s">
        <v>21</v>
      </c>
      <c r="J20" s="5" t="s">
        <v>43</v>
      </c>
      <c r="K20" s="4"/>
      <c r="L20" s="4"/>
      <c r="M20" s="4"/>
      <c r="N20" s="4"/>
      <c r="O20" s="4"/>
      <c r="P20" s="5"/>
      <c r="Q20" s="5"/>
      <c r="R20" s="5"/>
    </row>
    <row r="21" spans="1:18" ht="42.45" x14ac:dyDescent="0.35">
      <c r="A21" s="75"/>
      <c r="B21" s="8" t="s">
        <v>26</v>
      </c>
      <c r="C21" s="5">
        <v>156</v>
      </c>
      <c r="D21" s="9">
        <v>0.75</v>
      </c>
      <c r="E21" s="5" t="s">
        <v>24</v>
      </c>
      <c r="F21" s="5" t="s">
        <v>17</v>
      </c>
      <c r="G21" s="11" t="s">
        <v>122</v>
      </c>
      <c r="H21" s="5" t="s">
        <v>22</v>
      </c>
      <c r="I21" s="5" t="s">
        <v>21</v>
      </c>
      <c r="J21" s="72" t="s">
        <v>44</v>
      </c>
      <c r="K21" s="4"/>
      <c r="L21" s="4"/>
      <c r="M21" s="4"/>
      <c r="N21" s="4"/>
      <c r="O21" s="4"/>
      <c r="P21" s="5"/>
      <c r="Q21" s="5"/>
      <c r="R21" s="5"/>
    </row>
    <row r="22" spans="1:18" x14ac:dyDescent="0.35">
      <c r="A22" s="5"/>
      <c r="B22" s="8" t="s">
        <v>32</v>
      </c>
      <c r="C22" s="5"/>
      <c r="D22" s="5"/>
      <c r="E22" s="5"/>
      <c r="F22" s="5"/>
      <c r="G22" s="5"/>
      <c r="H22" s="5"/>
      <c r="I22" s="5"/>
      <c r="J22" s="5"/>
      <c r="K22" s="4"/>
      <c r="L22" s="4"/>
      <c r="M22" s="4"/>
      <c r="N22" s="4"/>
      <c r="O22" s="4"/>
      <c r="P22" s="5"/>
      <c r="Q22" s="5"/>
      <c r="R22" s="5"/>
    </row>
    <row r="23" spans="1:18" x14ac:dyDescent="0.35">
      <c r="A23" s="5"/>
      <c r="B23" s="8" t="s">
        <v>32</v>
      </c>
      <c r="C23" s="5"/>
      <c r="D23" s="5"/>
      <c r="E23" s="5"/>
      <c r="F23" s="5"/>
      <c r="G23" s="5"/>
      <c r="H23" s="5"/>
      <c r="I23" s="5"/>
      <c r="J23" s="5"/>
      <c r="K23" s="4"/>
      <c r="L23" s="4"/>
      <c r="M23" s="4"/>
      <c r="N23" s="4"/>
      <c r="O23" s="4"/>
      <c r="P23" s="5"/>
      <c r="Q23" s="5"/>
      <c r="R23" s="5"/>
    </row>
    <row r="24" spans="1:18" x14ac:dyDescent="0.35">
      <c r="A24" s="5"/>
      <c r="B24" s="8" t="s">
        <v>32</v>
      </c>
      <c r="C24" s="5"/>
      <c r="D24" s="5"/>
      <c r="E24" s="5"/>
      <c r="F24" s="5"/>
      <c r="G24" s="5"/>
      <c r="H24" s="5"/>
      <c r="I24" s="5"/>
      <c r="J24" s="5"/>
      <c r="K24" s="4"/>
      <c r="L24" s="4"/>
      <c r="M24" s="4"/>
      <c r="N24" s="4"/>
      <c r="O24" s="4"/>
      <c r="P24" s="5"/>
      <c r="Q24" s="5"/>
      <c r="R24" s="5"/>
    </row>
    <row r="25" spans="1:18" x14ac:dyDescent="0.35">
      <c r="A25" s="5"/>
      <c r="B25" s="8" t="s">
        <v>32</v>
      </c>
      <c r="C25" s="5"/>
      <c r="D25" s="5"/>
      <c r="E25" s="5"/>
      <c r="F25" s="5"/>
      <c r="G25" s="5"/>
      <c r="H25" s="5"/>
      <c r="I25" s="5"/>
      <c r="J25" s="5"/>
      <c r="K25" s="4"/>
      <c r="L25" s="4"/>
      <c r="M25" s="4"/>
      <c r="N25" s="4"/>
      <c r="O25" s="4"/>
      <c r="P25" s="5"/>
      <c r="Q25" s="5"/>
      <c r="R25" s="5"/>
    </row>
    <row r="26" spans="1:18" x14ac:dyDescent="0.35">
      <c r="A26" s="8"/>
      <c r="B26" s="8"/>
      <c r="C26" s="5"/>
      <c r="D26" s="5"/>
      <c r="E26" s="5"/>
      <c r="F26" s="5"/>
      <c r="G26" s="5"/>
      <c r="H26" s="5"/>
      <c r="I26" s="8"/>
      <c r="J26" s="8"/>
      <c r="K26" s="4"/>
      <c r="L26" s="4"/>
      <c r="M26" s="4"/>
      <c r="N26" s="4"/>
      <c r="O26" s="4"/>
      <c r="P26" s="5"/>
      <c r="Q26" s="5"/>
      <c r="R26" s="5"/>
    </row>
    <row r="27" spans="1:18" x14ac:dyDescent="0.35">
      <c r="A27" s="8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  <c r="Q27" s="5"/>
      <c r="R27" s="5"/>
    </row>
    <row r="28" spans="1:18" x14ac:dyDescent="0.35">
      <c r="B28" s="6" t="s">
        <v>1</v>
      </c>
      <c r="C28" s="83" t="s">
        <v>56</v>
      </c>
      <c r="D28" s="83"/>
      <c r="E28" s="83"/>
      <c r="F28" s="83"/>
      <c r="G28" s="83"/>
      <c r="H28" s="83"/>
      <c r="I28" s="83"/>
      <c r="J28" s="83"/>
      <c r="K28" s="83"/>
      <c r="L28" s="83"/>
    </row>
    <row r="29" spans="1:18" ht="14.05" customHeight="1" x14ac:dyDescent="0.35">
      <c r="B29" s="6" t="s">
        <v>2</v>
      </c>
      <c r="C29" s="83" t="s">
        <v>117</v>
      </c>
      <c r="D29" s="83"/>
      <c r="E29" s="83"/>
      <c r="F29" s="83"/>
      <c r="G29" s="83"/>
      <c r="H29" s="83" t="s">
        <v>57</v>
      </c>
      <c r="I29" s="83"/>
      <c r="J29" s="83"/>
      <c r="K29" s="83"/>
      <c r="L29" s="83"/>
    </row>
    <row r="30" spans="1:18" x14ac:dyDescent="0.35">
      <c r="B30" s="6"/>
      <c r="C30" s="81"/>
      <c r="D30" s="82"/>
      <c r="E30" s="82"/>
      <c r="I30" s="14"/>
      <c r="K30" s="7"/>
    </row>
    <row r="31" spans="1:18" ht="28.3" customHeight="1" x14ac:dyDescent="0.35">
      <c r="A31" s="80" t="s">
        <v>70</v>
      </c>
      <c r="B31" s="77" t="s">
        <v>74</v>
      </c>
      <c r="C31" s="78"/>
      <c r="D31" s="78"/>
      <c r="E31" s="78"/>
      <c r="F31" s="78"/>
      <c r="G31" s="79"/>
      <c r="H31" s="16"/>
      <c r="M31" s="3" t="s">
        <v>52</v>
      </c>
      <c r="N31" s="3" t="s">
        <v>33</v>
      </c>
      <c r="O31" s="3" t="s">
        <v>36</v>
      </c>
      <c r="P31" s="80" t="s">
        <v>35</v>
      </c>
      <c r="Q31" s="85" t="s">
        <v>54</v>
      </c>
      <c r="R31" s="85" t="s">
        <v>62</v>
      </c>
    </row>
    <row r="32" spans="1:18" ht="59.5" customHeight="1" x14ac:dyDescent="0.35">
      <c r="A32" s="80"/>
      <c r="B32" s="3" t="s">
        <v>0</v>
      </c>
      <c r="C32" s="3" t="s">
        <v>65</v>
      </c>
      <c r="D32" s="3" t="s">
        <v>34</v>
      </c>
      <c r="E32" s="3" t="s">
        <v>64</v>
      </c>
      <c r="F32" s="3" t="s">
        <v>12</v>
      </c>
      <c r="G32" s="3" t="s">
        <v>121</v>
      </c>
      <c r="H32" s="3" t="s">
        <v>13</v>
      </c>
      <c r="I32" s="3" t="s">
        <v>119</v>
      </c>
      <c r="J32" s="3" t="s">
        <v>120</v>
      </c>
      <c r="K32" s="3" t="s">
        <v>4</v>
      </c>
      <c r="L32" s="3" t="s">
        <v>3</v>
      </c>
      <c r="M32" s="3" t="s">
        <v>118</v>
      </c>
      <c r="N32" s="3" t="s">
        <v>118</v>
      </c>
      <c r="O32" s="3" t="s">
        <v>118</v>
      </c>
      <c r="P32" s="80"/>
      <c r="Q32" s="86"/>
      <c r="R32" s="86"/>
    </row>
    <row r="33" spans="1:18" ht="16.5" customHeight="1" x14ac:dyDescent="0.35">
      <c r="A33" s="2"/>
      <c r="C33" s="2"/>
      <c r="D33" s="2"/>
      <c r="E33" s="2"/>
      <c r="F33" s="2"/>
      <c r="G33" s="2"/>
      <c r="H33" s="71"/>
      <c r="M33" s="2"/>
      <c r="N33" s="2"/>
      <c r="R33" s="2"/>
    </row>
    <row r="34" spans="1:18" ht="16.5" customHeight="1" x14ac:dyDescent="0.35">
      <c r="A34" s="2"/>
      <c r="C34" s="2"/>
      <c r="D34" s="2"/>
      <c r="E34" s="2"/>
      <c r="F34" s="2"/>
      <c r="G34" s="2"/>
      <c r="H34" s="71"/>
      <c r="M34" s="2"/>
      <c r="N34" s="2"/>
      <c r="R34" s="2"/>
    </row>
    <row r="35" spans="1:18" ht="16.5" customHeight="1" x14ac:dyDescent="0.35">
      <c r="A35" s="2"/>
      <c r="C35" s="2"/>
      <c r="D35" s="2"/>
      <c r="E35" s="2"/>
      <c r="F35" s="2"/>
      <c r="G35" s="2"/>
      <c r="H35" s="71"/>
      <c r="M35" s="2"/>
      <c r="N35" s="2"/>
      <c r="R35" s="2"/>
    </row>
    <row r="36" spans="1:18" ht="16.5" customHeight="1" x14ac:dyDescent="0.35">
      <c r="A36" s="2"/>
      <c r="C36" s="2"/>
      <c r="D36" s="2"/>
      <c r="E36" s="2"/>
      <c r="F36" s="2"/>
      <c r="G36" s="2"/>
      <c r="H36" s="71"/>
      <c r="M36" s="2"/>
      <c r="N36" s="2"/>
      <c r="R36" s="2"/>
    </row>
    <row r="37" spans="1:18" x14ac:dyDescent="0.35">
      <c r="B37" s="6"/>
      <c r="P37" s="1"/>
      <c r="Q37" s="1"/>
    </row>
    <row r="38" spans="1:18" ht="26.05" customHeight="1" x14ac:dyDescent="0.35">
      <c r="A38" s="3" t="s">
        <v>71</v>
      </c>
      <c r="B38" s="84" t="s">
        <v>69</v>
      </c>
      <c r="C38" s="84"/>
      <c r="D38" s="84"/>
      <c r="E38" s="84"/>
      <c r="F38" s="84"/>
      <c r="G38" s="84"/>
    </row>
    <row r="39" spans="1:18" x14ac:dyDescent="0.35">
      <c r="A39" s="5"/>
      <c r="B39" s="87" t="s">
        <v>5</v>
      </c>
      <c r="C39" s="87"/>
      <c r="D39" s="88"/>
      <c r="E39" s="88"/>
      <c r="F39" s="88"/>
      <c r="G39" s="88"/>
    </row>
    <row r="41" spans="1:18" ht="28.3" customHeight="1" x14ac:dyDescent="0.35">
      <c r="A41" s="80" t="s">
        <v>73</v>
      </c>
      <c r="B41" s="84" t="s">
        <v>72</v>
      </c>
      <c r="C41" s="84"/>
      <c r="D41" s="84"/>
      <c r="E41" s="84"/>
      <c r="F41" s="84"/>
      <c r="G41" s="84"/>
    </row>
    <row r="42" spans="1:18" x14ac:dyDescent="0.35">
      <c r="A42" s="80"/>
      <c r="B42" s="15" t="s">
        <v>6</v>
      </c>
      <c r="C42" s="17" t="s">
        <v>7</v>
      </c>
      <c r="D42" s="17" t="s">
        <v>8</v>
      </c>
      <c r="E42" s="17" t="s">
        <v>9</v>
      </c>
      <c r="F42" s="17" t="s">
        <v>10</v>
      </c>
      <c r="G42" s="17" t="s">
        <v>11</v>
      </c>
    </row>
    <row r="43" spans="1:18" x14ac:dyDescent="0.35">
      <c r="A43" s="5"/>
      <c r="B43" s="5"/>
      <c r="C43" s="4"/>
      <c r="D43" s="4"/>
      <c r="E43" s="4"/>
      <c r="F43" s="4"/>
      <c r="G43" s="4"/>
    </row>
    <row r="44" spans="1:18" x14ac:dyDescent="0.35">
      <c r="A44" s="5"/>
      <c r="B44" s="5"/>
      <c r="C44" s="4"/>
      <c r="D44" s="4"/>
      <c r="E44" s="4"/>
      <c r="F44" s="4"/>
      <c r="G44" s="4"/>
    </row>
    <row r="45" spans="1:18" x14ac:dyDescent="0.35">
      <c r="A45" s="5"/>
      <c r="B45" s="5"/>
      <c r="C45" s="4"/>
      <c r="D45" s="4"/>
      <c r="E45" s="4"/>
      <c r="F45" s="4"/>
      <c r="G45" s="4"/>
    </row>
    <row r="46" spans="1:18" x14ac:dyDescent="0.35">
      <c r="A46" s="5"/>
      <c r="B46" s="5"/>
      <c r="C46" s="4"/>
      <c r="D46" s="4"/>
      <c r="E46" s="4"/>
      <c r="F46" s="4"/>
      <c r="G46" s="4"/>
    </row>
    <row r="47" spans="1:18" x14ac:dyDescent="0.35">
      <c r="A47" s="5"/>
      <c r="B47" s="5"/>
      <c r="C47" s="4"/>
      <c r="D47" s="4"/>
      <c r="E47" s="4"/>
      <c r="F47" s="4"/>
      <c r="G47" s="4"/>
    </row>
  </sheetData>
  <mergeCells count="21">
    <mergeCell ref="R31:R32"/>
    <mergeCell ref="R4:R5"/>
    <mergeCell ref="A4:A5"/>
    <mergeCell ref="B41:G41"/>
    <mergeCell ref="B39:C39"/>
    <mergeCell ref="B38:G38"/>
    <mergeCell ref="D39:G39"/>
    <mergeCell ref="A6:A21"/>
    <mergeCell ref="A31:A32"/>
    <mergeCell ref="A41:A42"/>
    <mergeCell ref="P4:P5"/>
    <mergeCell ref="B2:Q2"/>
    <mergeCell ref="B1:Q1"/>
    <mergeCell ref="B31:G31"/>
    <mergeCell ref="P31:P32"/>
    <mergeCell ref="C30:E30"/>
    <mergeCell ref="C28:L28"/>
    <mergeCell ref="C29:L29"/>
    <mergeCell ref="B4:L4"/>
    <mergeCell ref="Q4:Q5"/>
    <mergeCell ref="Q31:Q32"/>
  </mergeCells>
  <phoneticPr fontId="16" type="noConversion"/>
  <printOptions horizontalCentered="1"/>
  <pageMargins left="0.2" right="0.2" top="0.25" bottom="0.25" header="0.3" footer="0.3"/>
  <pageSetup paperSize="9"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7CF8-3817-49E4-8ABF-AF5E0AF933FE}">
  <sheetPr>
    <pageSetUpPr fitToPage="1"/>
  </sheetPr>
  <dimension ref="B1:H29"/>
  <sheetViews>
    <sheetView zoomScale="85" zoomScaleNormal="85" workbookViewId="0">
      <selection activeCell="H23" sqref="H23"/>
    </sheetView>
  </sheetViews>
  <sheetFormatPr defaultColWidth="8.69140625" defaultRowHeight="14.15" x14ac:dyDescent="0.35"/>
  <cols>
    <col min="1" max="1" width="3" style="1" customWidth="1"/>
    <col min="2" max="2" width="8.69140625" style="1"/>
    <col min="3" max="3" width="84.3828125" style="1" customWidth="1"/>
    <col min="4" max="4" width="19.23046875" style="1" customWidth="1"/>
    <col min="5" max="5" width="18.15234375" style="1" customWidth="1"/>
    <col min="6" max="6" width="62.23046875" style="1" customWidth="1"/>
    <col min="7" max="7" width="8.69140625" style="1"/>
    <col min="8" max="8" width="75.69140625" style="1" customWidth="1"/>
    <col min="9" max="16384" width="8.69140625" style="1"/>
  </cols>
  <sheetData>
    <row r="1" spans="2:6" ht="14.6" thickBot="1" x14ac:dyDescent="0.4"/>
    <row r="2" spans="2:6" ht="28.3" x14ac:dyDescent="0.35">
      <c r="B2" s="21" t="s">
        <v>75</v>
      </c>
      <c r="C2" s="22" t="s">
        <v>76</v>
      </c>
      <c r="D2" s="23" t="s">
        <v>77</v>
      </c>
      <c r="E2" s="24" t="s">
        <v>78</v>
      </c>
      <c r="F2" s="25" t="s">
        <v>59</v>
      </c>
    </row>
    <row r="3" spans="2:6" ht="25.3" customHeight="1" x14ac:dyDescent="0.35">
      <c r="B3" s="26">
        <v>1</v>
      </c>
      <c r="C3" s="27" t="s">
        <v>79</v>
      </c>
      <c r="D3" s="92" t="s">
        <v>106</v>
      </c>
      <c r="E3" s="28" t="s">
        <v>80</v>
      </c>
      <c r="F3" s="29"/>
    </row>
    <row r="4" spans="2:6" ht="19.5" customHeight="1" thickBot="1" x14ac:dyDescent="0.4">
      <c r="B4" s="30">
        <v>2</v>
      </c>
      <c r="C4" s="31" t="s">
        <v>81</v>
      </c>
      <c r="D4" s="93"/>
      <c r="E4" s="32" t="s">
        <v>80</v>
      </c>
      <c r="F4" s="33"/>
    </row>
    <row r="5" spans="2:6" ht="14.6" thickBot="1" x14ac:dyDescent="0.4">
      <c r="B5" s="34"/>
      <c r="C5" s="35"/>
      <c r="D5" s="36"/>
      <c r="E5" s="36"/>
      <c r="F5" s="37"/>
    </row>
    <row r="6" spans="2:6" ht="28.3" x14ac:dyDescent="0.35">
      <c r="B6" s="21" t="s">
        <v>82</v>
      </c>
      <c r="C6" s="22" t="s">
        <v>83</v>
      </c>
      <c r="D6" s="23" t="s">
        <v>77</v>
      </c>
      <c r="E6" s="24" t="s">
        <v>78</v>
      </c>
      <c r="F6" s="25" t="s">
        <v>59</v>
      </c>
    </row>
    <row r="7" spans="2:6" ht="28.3" x14ac:dyDescent="0.35">
      <c r="B7" s="26">
        <v>1</v>
      </c>
      <c r="C7" s="38" t="s">
        <v>84</v>
      </c>
      <c r="D7" s="39"/>
      <c r="E7" s="28" t="s">
        <v>85</v>
      </c>
      <c r="F7" s="40" t="s">
        <v>86</v>
      </c>
    </row>
    <row r="8" spans="2:6" x14ac:dyDescent="0.35">
      <c r="B8" s="26">
        <v>2</v>
      </c>
      <c r="C8" s="38" t="s">
        <v>87</v>
      </c>
      <c r="D8" s="89" t="s">
        <v>88</v>
      </c>
      <c r="E8" s="28" t="s">
        <v>85</v>
      </c>
      <c r="F8" s="29"/>
    </row>
    <row r="9" spans="2:6" x14ac:dyDescent="0.35">
      <c r="B9" s="26">
        <v>3</v>
      </c>
      <c r="C9" s="38" t="s">
        <v>89</v>
      </c>
      <c r="D9" s="90"/>
      <c r="E9" s="28" t="s">
        <v>85</v>
      </c>
      <c r="F9" s="29"/>
    </row>
    <row r="10" spans="2:6" ht="14.6" thickBot="1" x14ac:dyDescent="0.4">
      <c r="B10" s="30">
        <f t="shared" ref="B10" si="0">B9+1</f>
        <v>4</v>
      </c>
      <c r="C10" s="41" t="s">
        <v>90</v>
      </c>
      <c r="D10" s="91"/>
      <c r="E10" s="32" t="s">
        <v>85</v>
      </c>
      <c r="F10" s="33"/>
    </row>
    <row r="11" spans="2:6" ht="14.6" thickBot="1" x14ac:dyDescent="0.4">
      <c r="B11" s="42"/>
      <c r="C11" s="42"/>
      <c r="D11" s="43"/>
      <c r="E11" s="44"/>
      <c r="F11" s="45"/>
    </row>
    <row r="12" spans="2:6" ht="28.3" x14ac:dyDescent="0.35">
      <c r="B12" s="21" t="s">
        <v>91</v>
      </c>
      <c r="C12" s="46" t="s">
        <v>92</v>
      </c>
      <c r="D12" s="23" t="s">
        <v>77</v>
      </c>
      <c r="E12" s="24" t="s">
        <v>78</v>
      </c>
      <c r="F12" s="25" t="s">
        <v>59</v>
      </c>
    </row>
    <row r="13" spans="2:6" x14ac:dyDescent="0.35">
      <c r="B13" s="18">
        <v>1</v>
      </c>
      <c r="C13" s="13" t="s">
        <v>107</v>
      </c>
      <c r="D13" s="47"/>
      <c r="E13" s="12" t="s">
        <v>58</v>
      </c>
      <c r="F13" s="48" t="s">
        <v>112</v>
      </c>
    </row>
    <row r="14" spans="2:6" x14ac:dyDescent="0.35">
      <c r="B14" s="18">
        <v>2</v>
      </c>
      <c r="C14" s="49" t="s">
        <v>93</v>
      </c>
      <c r="D14" s="47"/>
      <c r="E14" s="12" t="s">
        <v>61</v>
      </c>
      <c r="F14" s="48" t="s">
        <v>112</v>
      </c>
    </row>
    <row r="15" spans="2:6" x14ac:dyDescent="0.35">
      <c r="B15" s="18">
        <v>3</v>
      </c>
      <c r="C15" s="13" t="s">
        <v>113</v>
      </c>
      <c r="D15" s="47"/>
      <c r="E15" s="12" t="s">
        <v>60</v>
      </c>
      <c r="F15" s="48"/>
    </row>
    <row r="16" spans="2:6" x14ac:dyDescent="0.35">
      <c r="B16" s="18">
        <v>4</v>
      </c>
      <c r="C16" s="13" t="s">
        <v>114</v>
      </c>
      <c r="D16" s="47"/>
      <c r="E16" s="12" t="s">
        <v>60</v>
      </c>
      <c r="F16" s="48"/>
    </row>
    <row r="17" spans="2:8" x14ac:dyDescent="0.35">
      <c r="B17" s="18">
        <v>5</v>
      </c>
      <c r="C17" s="13" t="s">
        <v>115</v>
      </c>
      <c r="D17" s="47"/>
      <c r="E17" s="12" t="s">
        <v>60</v>
      </c>
      <c r="F17" s="48"/>
    </row>
    <row r="18" spans="2:8" ht="14.6" thickBot="1" x14ac:dyDescent="0.4">
      <c r="B18" s="19">
        <v>6</v>
      </c>
      <c r="C18" s="20" t="s">
        <v>100</v>
      </c>
      <c r="D18" s="50"/>
      <c r="E18" s="68" t="s">
        <v>101</v>
      </c>
      <c r="F18" s="51"/>
      <c r="H18" s="70"/>
    </row>
    <row r="19" spans="2:8" ht="14.6" thickBot="1" x14ac:dyDescent="0.4">
      <c r="B19" s="34"/>
      <c r="C19" s="35"/>
      <c r="D19" s="36"/>
      <c r="E19" s="36"/>
      <c r="F19" s="52"/>
    </row>
    <row r="20" spans="2:8" ht="28.3" x14ac:dyDescent="0.35">
      <c r="B20" s="21" t="s">
        <v>94</v>
      </c>
      <c r="C20" s="46" t="s">
        <v>95</v>
      </c>
      <c r="D20" s="23" t="s">
        <v>77</v>
      </c>
      <c r="E20" s="24" t="s">
        <v>78</v>
      </c>
      <c r="F20" s="25" t="s">
        <v>59</v>
      </c>
    </row>
    <row r="21" spans="2:8" ht="28.3" x14ac:dyDescent="0.35">
      <c r="B21" s="54">
        <v>1</v>
      </c>
      <c r="C21" s="53" t="s">
        <v>108</v>
      </c>
      <c r="D21" s="55" t="s">
        <v>103</v>
      </c>
      <c r="E21" s="56" t="s">
        <v>104</v>
      </c>
      <c r="F21" s="57" t="s">
        <v>105</v>
      </c>
    </row>
    <row r="22" spans="2:8" ht="28.3" x14ac:dyDescent="0.35">
      <c r="B22" s="54">
        <v>2</v>
      </c>
      <c r="C22" s="49" t="s">
        <v>109</v>
      </c>
      <c r="D22" s="58"/>
      <c r="E22" s="56" t="s">
        <v>104</v>
      </c>
      <c r="F22" s="59" t="s">
        <v>102</v>
      </c>
    </row>
    <row r="23" spans="2:8" ht="42.9" thickBot="1" x14ac:dyDescent="0.4">
      <c r="B23" s="60">
        <v>3</v>
      </c>
      <c r="C23" s="61" t="s">
        <v>110</v>
      </c>
      <c r="D23" s="62"/>
      <c r="E23" s="65" t="s">
        <v>104</v>
      </c>
      <c r="F23" s="63" t="s">
        <v>111</v>
      </c>
    </row>
    <row r="24" spans="2:8" x14ac:dyDescent="0.35">
      <c r="B24" s="64"/>
      <c r="C24" s="64"/>
      <c r="D24" s="64"/>
      <c r="E24" s="64"/>
      <c r="F24" s="64"/>
    </row>
    <row r="25" spans="2:8" ht="14.6" thickBot="1" x14ac:dyDescent="0.4">
      <c r="B25" s="34"/>
      <c r="C25" s="35"/>
      <c r="D25" s="36"/>
      <c r="E25" s="36"/>
      <c r="F25" s="52"/>
    </row>
    <row r="26" spans="2:8" ht="28.3" x14ac:dyDescent="0.35">
      <c r="B26" s="21" t="s">
        <v>96</v>
      </c>
      <c r="C26" s="46" t="s">
        <v>97</v>
      </c>
      <c r="D26" s="23" t="s">
        <v>77</v>
      </c>
      <c r="E26" s="24" t="s">
        <v>78</v>
      </c>
      <c r="F26" s="25" t="s">
        <v>59</v>
      </c>
    </row>
    <row r="27" spans="2:8" ht="28.75" thickBot="1" x14ac:dyDescent="0.4">
      <c r="B27" s="30">
        <v>1</v>
      </c>
      <c r="C27" s="31" t="s">
        <v>98</v>
      </c>
      <c r="D27" s="65" t="s">
        <v>99</v>
      </c>
      <c r="E27" s="32" t="s">
        <v>85</v>
      </c>
      <c r="F27" s="66"/>
    </row>
    <row r="28" spans="2:8" x14ac:dyDescent="0.35">
      <c r="D28" s="67"/>
    </row>
    <row r="29" spans="2:8" x14ac:dyDescent="0.35">
      <c r="D29" s="67"/>
    </row>
  </sheetData>
  <mergeCells count="2">
    <mergeCell ref="D8:D10"/>
    <mergeCell ref="D3:D4"/>
  </mergeCells>
  <pageMargins left="0.2" right="0.2" top="0.25" bottom="0.25" header="0.3" footer="0.3"/>
  <pageSetup paperSize="9" scale="54"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206772FDE9E64EACCED74A2210DE60" ma:contentTypeVersion="1" ma:contentTypeDescription="Create a new document." ma:contentTypeScope="" ma:versionID="272fbe052a085fe278a01fedd4d0d102">
  <xsd:schema xmlns:xsd="http://www.w3.org/2001/XMLSchema" xmlns:xs="http://www.w3.org/2001/XMLSchema" xmlns:p="http://schemas.microsoft.com/office/2006/metadata/properties" xmlns:ns2="223fe44b-a0a3-4311-ae97-44eb71db6e3a" targetNamespace="http://schemas.microsoft.com/office/2006/metadata/properties" ma:root="true" ma:fieldsID="91867ee9110c6a4e6d73f9722f09992f" ns2:_="">
    <xsd:import namespace="223fe44b-a0a3-4311-ae97-44eb71db6e3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fe44b-a0a3-4311-ae97-44eb71db6e3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A513BD-F513-485D-B7E6-D6C4CA6D53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FCDEF-9CC5-4DD2-A38E-CDABB9134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3fe44b-a0a3-4311-ae97-44eb71db6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403250-F31E-40B5-A216-56E22CDFFF96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223fe44b-a0a3-4311-ae97-44eb71db6e3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Tables B1-B4-OCTG Prices</vt:lpstr>
      <vt:lpstr>Tables C1-G1</vt:lpstr>
      <vt:lpstr>'Tables B1-B4-OCTG Prices'!Print_Area</vt:lpstr>
      <vt:lpstr>'Tables C1-G1'!Print_Area</vt:lpstr>
    </vt:vector>
  </TitlesOfParts>
  <Company>ExxonMobil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Reavis, James</dc:creator>
  <cp:lastModifiedBy>Skornetskiy, Dmitry</cp:lastModifiedBy>
  <cp:lastPrinted>2025-10-08T12:20:30Z</cp:lastPrinted>
  <dcterms:created xsi:type="dcterms:W3CDTF">2022-11-16T20:26:41Z</dcterms:created>
  <dcterms:modified xsi:type="dcterms:W3CDTF">2025-10-22T17:58:14Z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7" name="ContentTypeId">
    <vt:lpwstr>0x01010082206772FDE9E64EACCED74A2210DE60</vt:lpwstr>
  </property>
</Properties>
</file>